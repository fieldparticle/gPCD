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/>
  <workbookPr defaultThemeVersion="202300"/>
  <mc:AlternateContent xmlns:mc="http://schemas.openxmlformats.org/markup-compatibility/2006">
    <mc:Choice Requires="x15">
      <x15ac:absPath xmlns:x15ac="http://schemas.microsoft.com/office/spreadsheetml/2010/11/ac" url="C:\_DJ\gPCD\Dynamics\data\"/>
    </mc:Choice>
  </mc:AlternateContent>
  <xr:revisionPtr revIDLastSave="0" documentId="13_ncr:1_{23C519A6-586A-4500-BE02-F4A84FB84D3F}" xr6:coauthVersionLast="47" xr6:coauthVersionMax="47" xr10:uidLastSave="{00000000-0000-0000-0000-000000000000}"/>
  <bookViews>
    <workbookView xWindow="-28920" yWindow="-120" windowWidth="29040" windowHeight="15720" tabRatio="782" activeTab="3" xr2:uid="{D6AA7B77-6C25-49CC-BC6D-BF3CEBA0CCB1}"/>
  </bookViews>
  <sheets>
    <sheet name="Plots" sheetId="10" r:id="rId1"/>
    <sheet name="TwoParticleH0C0" sheetId="14" r:id="rId2"/>
    <sheet name="TwoParticleH1C0" sheetId="15" r:id="rId3"/>
    <sheet name="Vals" sheetId="1" r:id="rId4"/>
    <sheet name="Sheet1" sheetId="16" r:id="rId5"/>
  </sheets>
  <definedNames>
    <definedName name="_xleta.PI" hidden="1" xlm="1">#NAME?</definedName>
    <definedName name="ExternalData_1" localSheetId="1" hidden="1">TwoParticleH0C0!$A$1:$AA$58</definedName>
    <definedName name="ExternalData_2" localSheetId="2" hidden="1">TwoParticleH1C0!$A$1:$AA$58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5" i="1" l="1"/>
  <c r="B13" i="1"/>
  <c r="B14" i="1" s="1"/>
  <c r="C2" i="1"/>
  <c r="B2" i="1"/>
  <c r="C4" i="1"/>
  <c r="H9" i="1"/>
  <c r="H10" i="1"/>
  <c r="H11" i="1"/>
  <c r="H12" i="1"/>
  <c r="H26" i="1"/>
  <c r="H27" i="1"/>
  <c r="H28" i="1"/>
  <c r="H29" i="1"/>
  <c r="H30" i="1"/>
  <c r="H31" i="1"/>
  <c r="H41" i="1"/>
  <c r="H42" i="1"/>
  <c r="H43" i="1"/>
  <c r="H44" i="1"/>
  <c r="G5" i="1"/>
  <c r="H6" i="1" s="1"/>
  <c r="G6" i="1"/>
  <c r="H7" i="1" s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H20" i="1" s="1"/>
  <c r="G20" i="1"/>
  <c r="G21" i="1"/>
  <c r="H22" i="1" s="1"/>
  <c r="G22" i="1"/>
  <c r="G23" i="1"/>
  <c r="H24" i="1" s="1"/>
  <c r="G24" i="1"/>
  <c r="H25" i="1" s="1"/>
  <c r="G25" i="1"/>
  <c r="G26" i="1"/>
  <c r="G27" i="1"/>
  <c r="G28" i="1"/>
  <c r="G29" i="1"/>
  <c r="G30" i="1"/>
  <c r="G31" i="1"/>
  <c r="H32" i="1" s="1"/>
  <c r="G32" i="1"/>
  <c r="G33" i="1"/>
  <c r="H34" i="1" s="1"/>
  <c r="G34" i="1"/>
  <c r="H35" i="1" s="1"/>
  <c r="G35" i="1"/>
  <c r="H36" i="1" s="1"/>
  <c r="G36" i="1"/>
  <c r="H37" i="1" s="1"/>
  <c r="G37" i="1"/>
  <c r="H38" i="1" s="1"/>
  <c r="G38" i="1"/>
  <c r="H39" i="1" s="1"/>
  <c r="G39" i="1"/>
  <c r="G40" i="1"/>
  <c r="G41" i="1"/>
  <c r="G42" i="1"/>
  <c r="G43" i="1"/>
  <c r="G44" i="1"/>
  <c r="G45" i="1"/>
  <c r="G46" i="1"/>
  <c r="G47" i="1"/>
  <c r="G48" i="1"/>
  <c r="G49" i="1"/>
  <c r="G4" i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J17" i="1" s="1"/>
  <c r="I17" i="1"/>
  <c r="J18" i="1" s="1"/>
  <c r="I18" i="1"/>
  <c r="I19" i="1"/>
  <c r="I20" i="1"/>
  <c r="I21" i="1"/>
  <c r="I22" i="1"/>
  <c r="I23" i="1"/>
  <c r="J24" i="1" s="1"/>
  <c r="I24" i="1"/>
  <c r="I25" i="1"/>
  <c r="J25" i="1" s="1"/>
  <c r="I26" i="1"/>
  <c r="J26" i="1" s="1"/>
  <c r="I27" i="1"/>
  <c r="J27" i="1" s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J11" i="1"/>
  <c r="J12" i="1"/>
  <c r="J13" i="1"/>
  <c r="J14" i="1"/>
  <c r="J15" i="1"/>
  <c r="B7" i="1"/>
  <c r="B4" i="1"/>
  <c r="C5" i="1"/>
  <c r="B6" i="1"/>
  <c r="C6" i="1"/>
  <c r="B3" i="16"/>
  <c r="B4" i="16" s="1"/>
  <c r="C2" i="16"/>
  <c r="B2" i="16"/>
  <c r="H2" i="1"/>
  <c r="B8" i="1" l="1"/>
  <c r="J23" i="1"/>
  <c r="J22" i="1"/>
  <c r="J21" i="1"/>
  <c r="J20" i="1"/>
  <c r="J19" i="1"/>
  <c r="J16" i="1"/>
  <c r="J46" i="1"/>
  <c r="J45" i="1"/>
  <c r="J44" i="1"/>
  <c r="J43" i="1"/>
  <c r="J37" i="1"/>
  <c r="J36" i="1"/>
  <c r="J35" i="1"/>
  <c r="J34" i="1"/>
  <c r="J33" i="1"/>
  <c r="J32" i="1"/>
  <c r="J31" i="1"/>
  <c r="J30" i="1"/>
  <c r="J29" i="1"/>
  <c r="J28" i="1"/>
  <c r="J42" i="1"/>
  <c r="J10" i="1"/>
  <c r="J41" i="1"/>
  <c r="J40" i="1"/>
  <c r="J8" i="1"/>
  <c r="J39" i="1"/>
  <c r="J7" i="1"/>
  <c r="J9" i="1"/>
  <c r="J38" i="1"/>
  <c r="J6" i="1"/>
  <c r="H33" i="1"/>
  <c r="H23" i="1"/>
  <c r="H21" i="1"/>
  <c r="H5" i="1"/>
  <c r="H19" i="1"/>
  <c r="H18" i="1"/>
  <c r="H49" i="1"/>
  <c r="H17" i="1"/>
  <c r="H16" i="1"/>
  <c r="H48" i="1"/>
  <c r="H47" i="1"/>
  <c r="H15" i="1"/>
  <c r="H46" i="1"/>
  <c r="H14" i="1"/>
  <c r="H45" i="1"/>
  <c r="H13" i="1"/>
  <c r="H40" i="1"/>
  <c r="H8" i="1"/>
  <c r="J5" i="1"/>
  <c r="B5" i="1"/>
  <c r="D4" i="1"/>
  <c r="D2" i="1"/>
  <c r="B9" i="1" l="1"/>
  <c r="C9" i="1"/>
  <c r="D5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2700596-5CF6-4AC2-BE9F-C36621B1F83E}" keepAlive="1" name="Query - TwoParticleH0C0" description="Connection to the 'TwoParticleH0C0' query in the workbook." type="5" refreshedVersion="8" background="1" saveData="1">
    <dbPr connection="Provider=Microsoft.Mashup.OleDb.1;Data Source=$Workbook$;Location=TwoParticleH0C0;Extended Properties=&quot;&quot;" command="SELECT * FROM [TwoParticleH0C0]"/>
  </connection>
  <connection id="2" xr16:uid="{793E7AD8-E1D9-496D-9A17-F1FF0CDE1920}" keepAlive="1" name="Query - TwoParticleH1C0" description="Connection to the 'TwoParticleH1C0' query in the workbook." type="5" refreshedVersion="8" background="1" saveData="1">
    <dbPr connection="Provider=Microsoft.Mashup.OleDb.1;Data Source=$Workbook$;Location=TwoParticleH1C0;Extended Properties=&quot;&quot;" command="SELECT * FROM [TwoParticleH1C0]"/>
  </connection>
</connections>
</file>

<file path=xl/sharedStrings.xml><?xml version="1.0" encoding="utf-8"?>
<sst xmlns="http://schemas.openxmlformats.org/spreadsheetml/2006/main" count="415" uniqueCount="138">
  <si>
    <t>P</t>
  </si>
  <si>
    <t>t</t>
  </si>
  <si>
    <t>iter</t>
  </si>
  <si>
    <t>vx</t>
  </si>
  <si>
    <t>vy</t>
  </si>
  <si>
    <t>pen_factor</t>
  </si>
  <si>
    <t>v_mag</t>
  </si>
  <si>
    <t>vel_mag_in</t>
  </si>
  <si>
    <t>imom</t>
  </si>
  <si>
    <t>imomx</t>
  </si>
  <si>
    <t>imomy</t>
  </si>
  <si>
    <t>cur_area</t>
  </si>
  <si>
    <t>area_diff</t>
  </si>
  <si>
    <t>vx_rel</t>
  </si>
  <si>
    <t>vy_rel</t>
  </si>
  <si>
    <t>v_rel</t>
  </si>
  <si>
    <t>col_acc_x</t>
  </si>
  <si>
    <t>col_acc_y</t>
  </si>
  <si>
    <t>v_ang</t>
  </si>
  <si>
    <t>Start Mom</t>
  </si>
  <si>
    <t>P0 C0</t>
  </si>
  <si>
    <t xml:space="preserve">P1 C0 </t>
  </si>
  <si>
    <t>Sum</t>
  </si>
  <si>
    <t>Part</t>
  </si>
  <si>
    <t>End Mom</t>
  </si>
  <si>
    <t>diff</t>
  </si>
  <si>
    <t>col_acc_mag</t>
  </si>
  <si>
    <t>v_coll</t>
  </si>
  <si>
    <t>R</t>
  </si>
  <si>
    <t>Area</t>
  </si>
  <si>
    <t>Expected End Mom</t>
  </si>
  <si>
    <t>vcoll</t>
  </si>
  <si>
    <t>Area Diff Residue</t>
  </si>
  <si>
    <t>tot_area</t>
  </si>
  <si>
    <t>ang_acc</t>
  </si>
  <si>
    <t>ang_diff</t>
  </si>
  <si>
    <t>Sum Area Change</t>
  </si>
  <si>
    <t>Vel Area Change</t>
  </si>
  <si>
    <t>dd Sum</t>
  </si>
  <si>
    <t>p_mom_x</t>
  </si>
  <si>
    <t>p_mom_y</t>
  </si>
  <si>
    <t>p_mom</t>
  </si>
  <si>
    <t>0.00000000</t>
  </si>
  <si>
    <t>-1.00000000</t>
  </si>
  <si>
    <t>0.99867067</t>
  </si>
  <si>
    <t>0.99492587</t>
  </si>
  <si>
    <t>0.98808219</t>
  </si>
  <si>
    <t>0.97761618</t>
  </si>
  <si>
    <t>0.96311179</t>
  </si>
  <si>
    <t>0.94423990</t>
  </si>
  <si>
    <t>0.92074894</t>
  </si>
  <si>
    <t>0.89246033</t>
  </si>
  <si>
    <t>0.85926611</t>
  </si>
  <si>
    <t>0.82112747</t>
  </si>
  <si>
    <t>0.77807354</t>
  </si>
  <si>
    <t>0.73019994</t>
  </si>
  <si>
    <t>0.67766700</t>
  </si>
  <si>
    <t>0.62069727</t>
  </si>
  <si>
    <t>0.55957250</t>
  </si>
  <si>
    <t>0.49462982</t>
  </si>
  <si>
    <t>0.42625730</t>
  </si>
  <si>
    <t>0.35488876</t>
  </si>
  <si>
    <t>0.28099809</t>
  </si>
  <si>
    <t>0.20509286</t>
  </si>
  <si>
    <t>0.12770764</t>
  </si>
  <si>
    <t>0.04939679</t>
  </si>
  <si>
    <t>-0.02927292</t>
  </si>
  <si>
    <t>0.02927292</t>
  </si>
  <si>
    <t>-0.10772991</t>
  </si>
  <si>
    <t>0.10772991</t>
  </si>
  <si>
    <t>-0.18540545</t>
  </si>
  <si>
    <t>0.18540545</t>
  </si>
  <si>
    <t>-0.26174130</t>
  </si>
  <si>
    <t>0.26174130</t>
  </si>
  <si>
    <t>-0.33619712</t>
  </si>
  <si>
    <t>0.33619712</t>
  </si>
  <si>
    <t>-0.40825776</t>
  </si>
  <si>
    <t>0.40825776</t>
  </si>
  <si>
    <t>-0.47744012</t>
  </si>
  <si>
    <t>0.47744012</t>
  </si>
  <si>
    <t>-0.54329952</t>
  </si>
  <si>
    <t>0.54329952</t>
  </si>
  <si>
    <t>-0.60543569</t>
  </si>
  <si>
    <t>0.60543569</t>
  </si>
  <si>
    <t>-0.66349800</t>
  </si>
  <si>
    <t>0.66349800</t>
  </si>
  <si>
    <t>-0.71719013</t>
  </si>
  <si>
    <t>0.71719013</t>
  </si>
  <si>
    <t>-0.76627407</t>
  </si>
  <si>
    <t>0.76627407</t>
  </si>
  <si>
    <t>-0.81057331</t>
  </si>
  <si>
    <t>0.81057331</t>
  </si>
  <si>
    <t>-0.84997545</t>
  </si>
  <si>
    <t>0.84997545</t>
  </si>
  <si>
    <t>-0.88443421</t>
  </si>
  <si>
    <t>0.88443421</t>
  </si>
  <si>
    <t>-0.91397090</t>
  </si>
  <si>
    <t>0.91397090</t>
  </si>
  <si>
    <t>-0.93867564</t>
  </si>
  <si>
    <t>0.93867564</t>
  </si>
  <si>
    <t>-0.95870878</t>
  </si>
  <si>
    <t>0.95870878</t>
  </si>
  <si>
    <t>-0.97430289</t>
  </si>
  <si>
    <t>0.97430289</t>
  </si>
  <si>
    <t>-0.98576659</t>
  </si>
  <si>
    <t>0.98576659</t>
  </si>
  <si>
    <t>-0.99349237</t>
  </si>
  <si>
    <t>0.99349237</t>
  </si>
  <si>
    <t>-0.99797311</t>
  </si>
  <si>
    <t>0.99797311</t>
  </si>
  <si>
    <t>-0.99984243</t>
  </si>
  <si>
    <t>0.99984243</t>
  </si>
  <si>
    <t>1.00000000</t>
  </si>
  <si>
    <t>-0.99867067</t>
  </si>
  <si>
    <t>-0.00000000</t>
  </si>
  <si>
    <t>-0.99492587</t>
  </si>
  <si>
    <t>-0.98808219</t>
  </si>
  <si>
    <t>-0.97761618</t>
  </si>
  <si>
    <t>-0.96311179</t>
  </si>
  <si>
    <t>-0.94423990</t>
  </si>
  <si>
    <t>-0.92074894</t>
  </si>
  <si>
    <t>-0.89246033</t>
  </si>
  <si>
    <t>-0.85926611</t>
  </si>
  <si>
    <t>-0.82112747</t>
  </si>
  <si>
    <t>-0.77807354</t>
  </si>
  <si>
    <t>-0.73019994</t>
  </si>
  <si>
    <t>-0.67766700</t>
  </si>
  <si>
    <t>-0.62069727</t>
  </si>
  <si>
    <t>-0.55957250</t>
  </si>
  <si>
    <t>-0.49462982</t>
  </si>
  <si>
    <t>-0.42625730</t>
  </si>
  <si>
    <t>-0.35488876</t>
  </si>
  <si>
    <t>-0.28099809</t>
  </si>
  <si>
    <t>-0.20509286</t>
  </si>
  <si>
    <t>-0.12770764</t>
  </si>
  <si>
    <t>-0.04939679</t>
  </si>
  <si>
    <t>Area Diff</t>
  </si>
  <si>
    <t>Area Diff * v_rel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</si>
</sst>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00"/>
    <numFmt numFmtId="165" formatCode="0.00000000"/>
    <numFmt numFmtId="167" formatCode="0.0000000"/>
  </numFmts>
  <fonts count="2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164" fontId="0" fillId="0" borderId="0" xfId="0" applyNumberFormat="1"/>
    <xf numFmtId="165" fontId="0" fillId="0" borderId="0" xfId="0" applyNumberFormat="1"/>
    <xf numFmtId="167" fontId="0" fillId="0" borderId="0" xfId="0" applyNumberFormat="1"/>
    <xf numFmtId="0" fontId="0" fillId="0" borderId="0" xfId="0" applyNumberFormat="1"/>
  </cellXfs>
  <cellStyles count="1">
    <cellStyle name="Normal" xfId="0" builtinId="0"/>
  </cellStyles>
  <dxfs count="12">
    <dxf>
      <numFmt numFmtId="0" formatCode="General"/>
    </dxf>
    <dxf>
      <numFmt numFmtId="0" formatCode="General"/>
    </dxf>
    <dxf>
      <numFmt numFmtId="0" formatCode="General"/>
    </dxf>
    <dxf>
      <numFmt numFmtId="165" formatCode="0.0000000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P0C0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F41-4685-A8C7-7E4E0AE1D9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46187247"/>
        <c:axId val="1646186287"/>
      </c:scatterChart>
      <c:valAx>
        <c:axId val="164618724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46186287"/>
        <c:crosses val="autoZero"/>
        <c:crossBetween val="midCat"/>
      </c:valAx>
      <c:valAx>
        <c:axId val="16461862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4618724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P0 C1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157-4BDA-B0C5-A91331F725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51583359"/>
        <c:axId val="1651586719"/>
      </c:scatterChart>
      <c:valAx>
        <c:axId val="165158335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51586719"/>
        <c:crosses val="autoZero"/>
        <c:crossBetween val="midCat"/>
      </c:valAx>
      <c:valAx>
        <c:axId val="16515867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5158335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P1 C0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2A8-4C62-B8A5-3AAD43A532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48546959"/>
        <c:axId val="1648548879"/>
      </c:scatterChart>
      <c:valAx>
        <c:axId val="164854695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48548879"/>
        <c:crosses val="autoZero"/>
        <c:crossBetween val="midCat"/>
      </c:valAx>
      <c:valAx>
        <c:axId val="16485488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4854695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P2 C0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95-4688-98A9-177E512415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440495"/>
        <c:axId val="1855444815"/>
      </c:scatterChart>
      <c:valAx>
        <c:axId val="185544049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444815"/>
        <c:crosses val="autoZero"/>
        <c:crossBetween val="midCat"/>
      </c:valAx>
      <c:valAx>
        <c:axId val="18554448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44049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P2 C0 ACC MAG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E8F-4BA4-9860-A5BFB9D77D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76909999"/>
        <c:axId val="1776907119"/>
      </c:scatterChart>
      <c:valAx>
        <c:axId val="177690999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76907119"/>
        <c:crosses val="autoZero"/>
        <c:crossBetween val="midCat"/>
      </c:valAx>
      <c:valAx>
        <c:axId val="17769071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7690999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P0 C0 ACC MAG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0F9-474A-814D-D7286FEFEB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37492256"/>
        <c:axId val="1237509056"/>
      </c:scatterChart>
      <c:valAx>
        <c:axId val="12374922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37509056"/>
        <c:crosses val="autoZero"/>
        <c:crossBetween val="midCat"/>
      </c:valAx>
      <c:valAx>
        <c:axId val="12375090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374922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P0 C1 ACC MAG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854-437D-A783-142B32BCF7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76917679"/>
        <c:axId val="1776928719"/>
      </c:scatterChart>
      <c:valAx>
        <c:axId val="177691767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76928719"/>
        <c:crosses val="autoZero"/>
        <c:crossBetween val="midCat"/>
      </c:valAx>
      <c:valAx>
        <c:axId val="17769287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7691767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</xdr:colOff>
      <xdr:row>0</xdr:row>
      <xdr:rowOff>104775</xdr:rowOff>
    </xdr:from>
    <xdr:to>
      <xdr:col>7</xdr:col>
      <xdr:colOff>323850</xdr:colOff>
      <xdr:row>14</xdr:row>
      <xdr:rowOff>180975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3110FD7-EB29-4BB9-91DA-E9A800D107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342900</xdr:colOff>
      <xdr:row>0</xdr:row>
      <xdr:rowOff>142875</xdr:rowOff>
    </xdr:from>
    <xdr:to>
      <xdr:col>15</xdr:col>
      <xdr:colOff>38100</xdr:colOff>
      <xdr:row>15</xdr:row>
      <xdr:rowOff>28575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45133E98-E9B7-4786-88BB-5297BB60D0A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15</xdr:col>
      <xdr:colOff>114300</xdr:colOff>
      <xdr:row>0</xdr:row>
      <xdr:rowOff>114300</xdr:rowOff>
    </xdr:from>
    <xdr:to>
      <xdr:col>22</xdr:col>
      <xdr:colOff>419100</xdr:colOff>
      <xdr:row>15</xdr:row>
      <xdr:rowOff>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942E0B20-DF70-4213-9B29-E6C278AA394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22</xdr:col>
      <xdr:colOff>438150</xdr:colOff>
      <xdr:row>0</xdr:row>
      <xdr:rowOff>152400</xdr:rowOff>
    </xdr:from>
    <xdr:to>
      <xdr:col>30</xdr:col>
      <xdr:colOff>133350</xdr:colOff>
      <xdr:row>15</xdr:row>
      <xdr:rowOff>38100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35372E63-D60B-41C1-9F5C-806AC2A4B7C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19</xdr:col>
      <xdr:colOff>152400</xdr:colOff>
      <xdr:row>16</xdr:row>
      <xdr:rowOff>66675</xdr:rowOff>
    </xdr:from>
    <xdr:to>
      <xdr:col>26</xdr:col>
      <xdr:colOff>457200</xdr:colOff>
      <xdr:row>30</xdr:row>
      <xdr:rowOff>142875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E672081-8105-4F88-9AFD-6C382FCA5AB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495300</xdr:colOff>
      <xdr:row>15</xdr:row>
      <xdr:rowOff>19050</xdr:rowOff>
    </xdr:from>
    <xdr:to>
      <xdr:col>9</xdr:col>
      <xdr:colOff>190500</xdr:colOff>
      <xdr:row>29</xdr:row>
      <xdr:rowOff>95250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2E67F26-DBE8-4463-AA18-0F346D58443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9</xdr:col>
      <xdr:colOff>161925</xdr:colOff>
      <xdr:row>15</xdr:row>
      <xdr:rowOff>38100</xdr:rowOff>
    </xdr:from>
    <xdr:to>
      <xdr:col>16</xdr:col>
      <xdr:colOff>466725</xdr:colOff>
      <xdr:row>29</xdr:row>
      <xdr:rowOff>114300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CDDA56E0-8BED-4E87-8666-D09948FE739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55A62D96-3ACD-4474-8B18-EFDDA78EA059}" autoFormatId="16" applyNumberFormats="0" applyBorderFormats="0" applyFontFormats="0" applyPatternFormats="0" applyAlignmentFormats="0" applyWidthHeightFormats="0">
  <queryTableRefresh nextId="35">
    <queryTableFields count="27">
      <queryTableField id="1" name="P" tableColumnId="1"/>
      <queryTableField id="2" name="t" tableColumnId="2"/>
      <queryTableField id="3" name="iter" tableColumnId="3"/>
      <queryTableField id="4" name="vx" tableColumnId="4"/>
      <queryTableField id="5" name="vy" tableColumnId="5"/>
      <queryTableField id="6" name="pen_factor" tableColumnId="6"/>
      <queryTableField id="7" name="v_mag" tableColumnId="7"/>
      <queryTableField id="8" name="vel_mag_in" tableColumnId="8"/>
      <queryTableField id="10" name="v_coll" tableColumnId="10"/>
      <queryTableField id="11" name="v_ang" tableColumnId="11"/>
      <queryTableField id="28" name="ang_acc" tableColumnId="23"/>
      <queryTableField id="29" name="ang_diff" tableColumnId="24"/>
      <queryTableField id="12" name="imomx" tableColumnId="12"/>
      <queryTableField id="13" name="imomy" tableColumnId="13"/>
      <queryTableField id="9" name="imom" tableColumnId="9"/>
      <queryTableField id="26" name="tot_area" tableColumnId="22"/>
      <queryTableField id="14" name="cur_area" tableColumnId="14"/>
      <queryTableField id="15" name="area_diff" tableColumnId="15"/>
      <queryTableField id="16" name="vx_rel" tableColumnId="16"/>
      <queryTableField id="17" name="vy_rel" tableColumnId="17"/>
      <queryTableField id="18" name="v_rel" tableColumnId="18"/>
      <queryTableField id="19" name="col_acc_x" tableColumnId="19"/>
      <queryTableField id="20" name="col_acc_y" tableColumnId="20"/>
      <queryTableField id="21" name="col_acc_mag" tableColumnId="21"/>
      <queryTableField id="32" name="p_mom_x" tableColumnId="25"/>
      <queryTableField id="33" name="p_mom_y" tableColumnId="26"/>
      <queryTableField id="34" name="p_mom" tableColumnId="27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2" xr16:uid="{E87CA3E1-3395-4AC8-B588-654096267464}" autoFormatId="16" applyNumberFormats="0" applyBorderFormats="0" applyFontFormats="0" applyPatternFormats="0" applyAlignmentFormats="0" applyWidthHeightFormats="0">
  <queryTableRefresh nextId="35">
    <queryTableFields count="27">
      <queryTableField id="1" name="P" tableColumnId="1"/>
      <queryTableField id="2" name="t" tableColumnId="2"/>
      <queryTableField id="3" name="iter" tableColumnId="3"/>
      <queryTableField id="4" name="vx" tableColumnId="4"/>
      <queryTableField id="5" name="vy" tableColumnId="5"/>
      <queryTableField id="6" name="pen_factor" tableColumnId="6"/>
      <queryTableField id="7" name="v_mag" tableColumnId="7"/>
      <queryTableField id="8" name="vel_mag_in" tableColumnId="8"/>
      <queryTableField id="10" name="v_coll" tableColumnId="10"/>
      <queryTableField id="11" name="v_ang" tableColumnId="11"/>
      <queryTableField id="28" name="ang_acc" tableColumnId="23"/>
      <queryTableField id="29" name="ang_diff" tableColumnId="24"/>
      <queryTableField id="12" name="imomx" tableColumnId="12"/>
      <queryTableField id="13" name="imomy" tableColumnId="13"/>
      <queryTableField id="9" name="imom" tableColumnId="9"/>
      <queryTableField id="26" name="tot_area" tableColumnId="22"/>
      <queryTableField id="14" name="cur_area" tableColumnId="14"/>
      <queryTableField id="15" name="area_diff" tableColumnId="15"/>
      <queryTableField id="16" name="vx_rel" tableColumnId="16"/>
      <queryTableField id="17" name="vy_rel" tableColumnId="17"/>
      <queryTableField id="18" name="v_rel" tableColumnId="18"/>
      <queryTableField id="19" name="col_acc_x" tableColumnId="19"/>
      <queryTableField id="20" name="col_acc_y" tableColumnId="20"/>
      <queryTableField id="21" name="col_acc_mag" tableColumnId="21"/>
      <queryTableField id="32" name="p_mom_x" tableColumnId="25"/>
      <queryTableField id="33" name="p_mom_y" tableColumnId="26"/>
      <queryTableField id="34" name="p_mom" tableColumnId="27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78F8576-B1C2-4BBA-B2BE-ABBEFBBE061C}" name="TwoParticleH0C0" displayName="TwoParticleH0C0" ref="A1:AA58" tableType="queryTable" totalsRowShown="0">
  <autoFilter ref="A1:AA58" xr:uid="{178F8576-B1C2-4BBA-B2BE-ABBEFBBE061C}"/>
  <tableColumns count="27">
    <tableColumn id="1" xr3:uid="{FC0D0BDE-098E-40EC-A3D0-19915E977CB7}" uniqueName="1" name="P" queryTableFieldId="1"/>
    <tableColumn id="2" xr3:uid="{76B3EA3E-8CAB-4726-B25A-731693F9D4BF}" uniqueName="2" name="t" queryTableFieldId="2"/>
    <tableColumn id="3" xr3:uid="{F2DC9795-D008-4416-9D22-5CAFABDEA639}" uniqueName="3" name="iter" queryTableFieldId="3"/>
    <tableColumn id="4" xr3:uid="{F84FDDE0-C383-4D6E-BB7D-32C78A310701}" uniqueName="4" name="vx" queryTableFieldId="4"/>
    <tableColumn id="5" xr3:uid="{BFC42407-57DD-4484-B331-0586230AE968}" uniqueName="5" name="vy" queryTableFieldId="5"/>
    <tableColumn id="6" xr3:uid="{013DA5BF-2AF6-44AC-A166-52C24A846307}" uniqueName="6" name="pen_factor" queryTableFieldId="6"/>
    <tableColumn id="7" xr3:uid="{9CDB340B-840B-4647-A484-8D861D608651}" uniqueName="7" name="v_mag" queryTableFieldId="7"/>
    <tableColumn id="8" xr3:uid="{B92F9EAB-6CD3-490E-81B6-B42F2AF0041D}" uniqueName="8" name="vel_mag_in" queryTableFieldId="8"/>
    <tableColumn id="10" xr3:uid="{C37109E8-1A6F-4AF6-940E-F8542F6CE5AD}" uniqueName="10" name="v_coll" queryTableFieldId="10"/>
    <tableColumn id="11" xr3:uid="{87FE1879-E53E-4568-B3D6-61082D2D6723}" uniqueName="11" name="v_ang" queryTableFieldId="11"/>
    <tableColumn id="23" xr3:uid="{E60BAC91-12D9-4816-A117-6BCEFCDB4AA5}" uniqueName="23" name="ang_acc" queryTableFieldId="28" dataDxfId="11"/>
    <tableColumn id="24" xr3:uid="{A8394D4E-0605-43BC-9806-CA3B3B224D60}" uniqueName="24" name="ang_diff" queryTableFieldId="29" dataDxfId="10"/>
    <tableColumn id="12" xr3:uid="{444F8854-9471-4312-93CF-569CB5BC346A}" uniqueName="12" name="imomx" queryTableFieldId="12"/>
    <tableColumn id="13" xr3:uid="{430A1196-448D-4A74-B8D1-FAB24959FB0A}" uniqueName="13" name="imomy" queryTableFieldId="13"/>
    <tableColumn id="9" xr3:uid="{E3778E62-D0EB-4EA8-8CB7-AE56FF6A1882}" uniqueName="9" name="imom" queryTableFieldId="9"/>
    <tableColumn id="22" xr3:uid="{06FCC566-7756-4E12-9AA2-10B166235D48}" uniqueName="22" name="tot_area" queryTableFieldId="26" dataDxfId="9"/>
    <tableColumn id="14" xr3:uid="{BBD98C6B-7796-46D9-BA7E-B3DAC131B5A8}" uniqueName="14" name="cur_area" queryTableFieldId="14"/>
    <tableColumn id="15" xr3:uid="{204A168F-AC91-4B69-9DC6-0BC27A9F016C}" uniqueName="15" name="area_diff" queryTableFieldId="15"/>
    <tableColumn id="16" xr3:uid="{6BD2E353-0924-449F-84D1-4BD1B2B6C91C}" uniqueName="16" name="vx_rel" queryTableFieldId="16"/>
    <tableColumn id="17" xr3:uid="{23AFD07F-CDA5-4877-A174-D93AD96FD4CC}" uniqueName="17" name="vy_rel" queryTableFieldId="17"/>
    <tableColumn id="18" xr3:uid="{E83CA6CC-A190-4C11-9153-F819971F0203}" uniqueName="18" name="v_rel" queryTableFieldId="18"/>
    <tableColumn id="19" xr3:uid="{239664DF-660D-4ACB-B97C-10AC7902ABF2}" uniqueName="19" name="col_acc_x" queryTableFieldId="19"/>
    <tableColumn id="20" xr3:uid="{7C30B0D2-85D5-48EB-8235-9F18540AED95}" uniqueName="20" name="col_acc_y" queryTableFieldId="20"/>
    <tableColumn id="21" xr3:uid="{E8FD23F6-CA0B-4E29-854E-FAA6B5588CAF}" uniqueName="21" name="col_acc_mag" queryTableFieldId="21"/>
    <tableColumn id="25" xr3:uid="{6856B8A8-09B1-4663-85C3-2AA4BF78BE19}" uniqueName="25" name="p_mom_x" queryTableFieldId="32" dataDxfId="6"/>
    <tableColumn id="26" xr3:uid="{499D66F9-76C3-4A5F-B522-F48335D22881}" uniqueName="26" name="p_mom_y" queryTableFieldId="33" dataDxfId="5"/>
    <tableColumn id="27" xr3:uid="{E1210688-CB84-4607-B532-29BAB54E6F54}" uniqueName="27" name="p_mom" queryTableFieldId="34" dataDxfId="4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49F1E6B8-5BDF-420D-9763-C397BC230951}" name="TwoParticleH1C0" displayName="TwoParticleH1C0" ref="A1:AA58" tableType="queryTable" totalsRowShown="0">
  <autoFilter ref="A1:AA58" xr:uid="{49F1E6B8-5BDF-420D-9763-C397BC230951}"/>
  <tableColumns count="27">
    <tableColumn id="1" xr3:uid="{BC717385-9A74-4B1D-B0D3-F2985D1CF179}" uniqueName="1" name="P" queryTableFieldId="1"/>
    <tableColumn id="2" xr3:uid="{AC17D649-4DA1-4689-BB6F-FEDB9EEA0231}" uniqueName="2" name="t" queryTableFieldId="2"/>
    <tableColumn id="3" xr3:uid="{62E3AB0C-ABB5-4950-AAD8-40A1A9935467}" uniqueName="3" name="iter" queryTableFieldId="3"/>
    <tableColumn id="4" xr3:uid="{78D63EF5-5A05-4151-871A-1205587C5E7E}" uniqueName="4" name="vx" queryTableFieldId="4"/>
    <tableColumn id="5" xr3:uid="{25E705F0-C9E8-4987-BEA1-A96375973AF3}" uniqueName="5" name="vy" queryTableFieldId="5"/>
    <tableColumn id="6" xr3:uid="{0DCEDA6B-ECFC-4BA5-9226-646F15554DA3}" uniqueName="6" name="pen_factor" queryTableFieldId="6"/>
    <tableColumn id="7" xr3:uid="{E5641A26-C433-4777-AB63-BD55B10E107A}" uniqueName="7" name="v_mag" queryTableFieldId="7"/>
    <tableColumn id="8" xr3:uid="{3A24BE76-06B2-47B6-9F42-60FD5EDFBFDE}" uniqueName="8" name="vel_mag_in" queryTableFieldId="8"/>
    <tableColumn id="10" xr3:uid="{9E6CFEB0-86A3-4DED-9A5A-421F0D6E5713}" uniqueName="10" name="v_coll" queryTableFieldId="10"/>
    <tableColumn id="11" xr3:uid="{C1B49D93-944A-4391-9254-C750F3B263B8}" uniqueName="11" name="v_ang" queryTableFieldId="11"/>
    <tableColumn id="23" xr3:uid="{39733376-B623-4FF9-8E62-BE31FC7A7BE4}" uniqueName="23" name="ang_acc" queryTableFieldId="28" dataDxfId="8"/>
    <tableColumn id="24" xr3:uid="{9D1F7B4D-6B4B-4BC9-BFA4-E8083B6C594F}" uniqueName="24" name="ang_diff" queryTableFieldId="29" dataDxfId="7"/>
    <tableColumn id="12" xr3:uid="{547C3F36-6C8F-41ED-BFE7-758ADE684CA7}" uniqueName="12" name="imomx" queryTableFieldId="12"/>
    <tableColumn id="13" xr3:uid="{AB819564-01D0-4A31-8C54-FF64B9A9776D}" uniqueName="13" name="imomy" queryTableFieldId="13"/>
    <tableColumn id="9" xr3:uid="{059DA33E-4703-42F1-97A4-EA054EE8D778}" uniqueName="9" name="imom" queryTableFieldId="9" dataDxfId="3"/>
    <tableColumn id="22" xr3:uid="{DB5A9F41-C6FB-4E41-B7D6-2A22626CCFC1}" uniqueName="22" name="tot_area" queryTableFieldId="26"/>
    <tableColumn id="14" xr3:uid="{79B27BE7-EBF9-4DE9-AA4A-D32A6F1A8F79}" uniqueName="14" name="cur_area" queryTableFieldId="14"/>
    <tableColumn id="15" xr3:uid="{6745C5F1-2E30-434E-B6E0-30D9B63AC5B0}" uniqueName="15" name="area_diff" queryTableFieldId="15"/>
    <tableColumn id="16" xr3:uid="{47001C39-8AE6-449C-B5CE-5BB5525469E9}" uniqueName="16" name="vx_rel" queryTableFieldId="16"/>
    <tableColumn id="17" xr3:uid="{0C8372D7-C223-4A66-A388-419D5A45DA47}" uniqueName="17" name="vy_rel" queryTableFieldId="17"/>
    <tableColumn id="18" xr3:uid="{9C89CFD2-4E50-4D74-AA5F-38958D4E2CDB}" uniqueName="18" name="v_rel" queryTableFieldId="18"/>
    <tableColumn id="19" xr3:uid="{C7257290-82A4-4094-AC25-C261CD4F5FC5}" uniqueName="19" name="col_acc_x" queryTableFieldId="19"/>
    <tableColumn id="20" xr3:uid="{EF9767C6-53EA-4323-8E9F-E2286A7B025B}" uniqueName="20" name="col_acc_y" queryTableFieldId="20"/>
    <tableColumn id="21" xr3:uid="{725D93AC-D629-4984-BACC-D2E5A329D4E0}" uniqueName="21" name="col_acc_mag" queryTableFieldId="21"/>
    <tableColumn id="25" xr3:uid="{A4D66747-9E75-4012-AE43-D0ADAE380B7E}" uniqueName="25" name="p_mom_x" queryTableFieldId="32" dataDxfId="2"/>
    <tableColumn id="26" xr3:uid="{2FB57BBE-83F3-4C45-9A9D-66ACBBE64CCB}" uniqueName="26" name="p_mom_y" queryTableFieldId="33" dataDxfId="1"/>
    <tableColumn id="27" xr3:uid="{E4A44A81-BF0B-4C22-945F-EF418C11EE36}" uniqueName="27" name="p_mom" queryTableFieldId="34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611BAA-9A7A-4B63-97FA-2F38D83F449A}">
  <dimension ref="A1"/>
  <sheetViews>
    <sheetView topLeftCell="B1" workbookViewId="0">
      <selection activeCell="S26" sqref="S26"/>
    </sheetView>
  </sheetViews>
  <sheetFormatPr defaultRowHeight="15" x14ac:dyDescent="0.25"/>
  <sheetData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FBF385-1B71-44A5-8B25-85F3F74E26D2}">
  <dimension ref="A1:AA58"/>
  <sheetViews>
    <sheetView topLeftCell="A19" workbookViewId="0">
      <selection activeCell="G9" sqref="G9"/>
    </sheetView>
  </sheetViews>
  <sheetFormatPr defaultRowHeight="15" x14ac:dyDescent="0.25"/>
  <cols>
    <col min="1" max="1" width="4.42578125" bestFit="1" customWidth="1"/>
    <col min="2" max="2" width="6" bestFit="1" customWidth="1"/>
    <col min="3" max="3" width="6.42578125" bestFit="1" customWidth="1"/>
    <col min="4" max="4" width="7.7109375" bestFit="1" customWidth="1"/>
    <col min="5" max="5" width="5.28515625" bestFit="1" customWidth="1"/>
    <col min="6" max="6" width="12.85546875" bestFit="1" customWidth="1"/>
    <col min="7" max="7" width="11" bestFit="1" customWidth="1"/>
    <col min="8" max="8" width="13.140625" bestFit="1" customWidth="1"/>
    <col min="9" max="9" width="8.42578125" bestFit="1" customWidth="1"/>
    <col min="10" max="10" width="8.28515625" bestFit="1" customWidth="1"/>
    <col min="11" max="11" width="10.28515625" bestFit="1" customWidth="1"/>
    <col min="12" max="12" width="10.42578125" bestFit="1" customWidth="1"/>
    <col min="13" max="14" width="9.42578125" bestFit="1" customWidth="1"/>
    <col min="15" max="16" width="11.7109375" bestFit="1" customWidth="1"/>
    <col min="17" max="17" width="11" bestFit="1" customWidth="1"/>
    <col min="18" max="18" width="11.7109375" bestFit="1" customWidth="1"/>
    <col min="19" max="20" width="8.5703125" bestFit="1" customWidth="1"/>
    <col min="21" max="21" width="7.5703125" bestFit="1" customWidth="1"/>
    <col min="22" max="23" width="11.7109375" bestFit="1" customWidth="1"/>
    <col min="24" max="24" width="14.42578125" customWidth="1"/>
    <col min="25" max="26" width="11.7109375" bestFit="1" customWidth="1"/>
    <col min="27" max="27" width="10.5703125" bestFit="1" customWidth="1"/>
  </cols>
  <sheetData>
    <row r="1" spans="1:27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27</v>
      </c>
      <c r="J1" t="s">
        <v>18</v>
      </c>
      <c r="K1" t="s">
        <v>34</v>
      </c>
      <c r="L1" t="s">
        <v>35</v>
      </c>
      <c r="M1" t="s">
        <v>9</v>
      </c>
      <c r="N1" t="s">
        <v>10</v>
      </c>
      <c r="O1" t="s">
        <v>8</v>
      </c>
      <c r="P1" t="s">
        <v>33</v>
      </c>
      <c r="Q1" t="s">
        <v>11</v>
      </c>
      <c r="R1" t="s">
        <v>12</v>
      </c>
      <c r="S1" t="s">
        <v>13</v>
      </c>
      <c r="T1" t="s">
        <v>14</v>
      </c>
      <c r="U1" t="s">
        <v>15</v>
      </c>
      <c r="V1" t="s">
        <v>16</v>
      </c>
      <c r="W1" t="s">
        <v>17</v>
      </c>
      <c r="X1" t="s">
        <v>26</v>
      </c>
      <c r="Y1" t="s">
        <v>39</v>
      </c>
      <c r="Z1" t="s">
        <v>40</v>
      </c>
      <c r="AA1" t="s">
        <v>41</v>
      </c>
    </row>
    <row r="2" spans="1:27" x14ac:dyDescent="0.25">
      <c r="A2">
        <v>0</v>
      </c>
      <c r="B2">
        <v>5.0000000000000001E-3</v>
      </c>
      <c r="C2">
        <v>1</v>
      </c>
      <c r="D2">
        <v>1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 s="4" t="s">
        <v>42</v>
      </c>
      <c r="Z2" s="4" t="s">
        <v>42</v>
      </c>
      <c r="AA2" s="4" t="s">
        <v>42</v>
      </c>
    </row>
    <row r="3" spans="1:27" x14ac:dyDescent="0.25">
      <c r="A3">
        <v>0</v>
      </c>
      <c r="B3">
        <v>0.01</v>
      </c>
      <c r="C3">
        <v>2</v>
      </c>
      <c r="D3">
        <v>1</v>
      </c>
      <c r="E3">
        <v>0</v>
      </c>
      <c r="F3">
        <v>0</v>
      </c>
      <c r="G3">
        <v>1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 s="4" t="s">
        <v>42</v>
      </c>
      <c r="Z3" s="4" t="s">
        <v>42</v>
      </c>
      <c r="AA3" s="4" t="s">
        <v>42</v>
      </c>
    </row>
    <row r="4" spans="1:27" x14ac:dyDescent="0.25">
      <c r="A4">
        <v>0</v>
      </c>
      <c r="B4">
        <v>1.4999999999999999E-2</v>
      </c>
      <c r="C4">
        <v>3</v>
      </c>
      <c r="D4">
        <v>1</v>
      </c>
      <c r="E4">
        <v>0</v>
      </c>
      <c r="F4">
        <v>0</v>
      </c>
      <c r="G4">
        <v>1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 s="4" t="s">
        <v>42</v>
      </c>
      <c r="Z4" s="4" t="s">
        <v>42</v>
      </c>
      <c r="AA4" s="4" t="s">
        <v>42</v>
      </c>
    </row>
    <row r="5" spans="1:27" x14ac:dyDescent="0.25">
      <c r="A5">
        <v>0</v>
      </c>
      <c r="B5">
        <v>0.02</v>
      </c>
      <c r="C5">
        <v>4</v>
      </c>
      <c r="D5">
        <v>1</v>
      </c>
      <c r="E5">
        <v>0</v>
      </c>
      <c r="F5">
        <v>0</v>
      </c>
      <c r="G5">
        <v>1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 s="4" t="s">
        <v>42</v>
      </c>
      <c r="Z5" s="4" t="s">
        <v>42</v>
      </c>
      <c r="AA5" s="4" t="s">
        <v>42</v>
      </c>
    </row>
    <row r="6" spans="1:27" x14ac:dyDescent="0.25">
      <c r="A6">
        <v>0</v>
      </c>
      <c r="B6">
        <v>2.5000000000000001E-2</v>
      </c>
      <c r="C6">
        <v>5</v>
      </c>
      <c r="D6">
        <v>1</v>
      </c>
      <c r="E6">
        <v>0</v>
      </c>
      <c r="F6">
        <v>0</v>
      </c>
      <c r="G6">
        <v>1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 s="4" t="s">
        <v>42</v>
      </c>
      <c r="Z6" s="4" t="s">
        <v>42</v>
      </c>
      <c r="AA6" s="4" t="s">
        <v>42</v>
      </c>
    </row>
    <row r="7" spans="1:27" x14ac:dyDescent="0.25">
      <c r="A7">
        <v>0</v>
      </c>
      <c r="B7">
        <v>0.03</v>
      </c>
      <c r="C7">
        <v>6</v>
      </c>
      <c r="D7">
        <v>1</v>
      </c>
      <c r="E7">
        <v>0</v>
      </c>
      <c r="F7">
        <v>0</v>
      </c>
      <c r="G7">
        <v>1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 s="4" t="s">
        <v>42</v>
      </c>
      <c r="Z7" s="4" t="s">
        <v>42</v>
      </c>
      <c r="AA7" s="4" t="s">
        <v>42</v>
      </c>
    </row>
    <row r="8" spans="1:27" x14ac:dyDescent="0.25">
      <c r="A8">
        <v>0</v>
      </c>
      <c r="B8">
        <v>3.5000000000000003E-2</v>
      </c>
      <c r="C8">
        <v>7</v>
      </c>
      <c r="D8">
        <v>1</v>
      </c>
      <c r="E8">
        <v>0</v>
      </c>
      <c r="F8">
        <v>3.3850999999999998E-3</v>
      </c>
      <c r="G8">
        <v>1</v>
      </c>
      <c r="H8">
        <v>1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-6.6465999999999997E-4</v>
      </c>
      <c r="Q8">
        <v>6.6465999999999997E-4</v>
      </c>
      <c r="R8">
        <v>-6.6465999999999997E-4</v>
      </c>
      <c r="S8">
        <v>2</v>
      </c>
      <c r="T8">
        <v>0</v>
      </c>
      <c r="U8">
        <v>2</v>
      </c>
      <c r="V8">
        <v>-1.3293300000000001E-3</v>
      </c>
      <c r="W8">
        <v>0</v>
      </c>
      <c r="X8">
        <v>0</v>
      </c>
      <c r="Y8" s="4" t="s">
        <v>43</v>
      </c>
      <c r="Z8" s="4" t="s">
        <v>42</v>
      </c>
      <c r="AA8" s="4" t="s">
        <v>42</v>
      </c>
    </row>
    <row r="9" spans="1:27" x14ac:dyDescent="0.25">
      <c r="A9">
        <v>0</v>
      </c>
      <c r="B9">
        <v>0.04</v>
      </c>
      <c r="C9">
        <v>8</v>
      </c>
      <c r="D9">
        <v>0.99870000000000003</v>
      </c>
      <c r="E9">
        <v>0</v>
      </c>
      <c r="F9">
        <v>9.5360700000000007E-3</v>
      </c>
      <c r="G9">
        <v>0.99867066999999998</v>
      </c>
      <c r="H9">
        <v>1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1.3293300000000001E-3</v>
      </c>
      <c r="P9">
        <v>-1.8724E-3</v>
      </c>
      <c r="Q9">
        <v>1.8724E-3</v>
      </c>
      <c r="R9">
        <v>-1.2077399999999999E-3</v>
      </c>
      <c r="S9">
        <v>2</v>
      </c>
      <c r="T9">
        <v>0</v>
      </c>
      <c r="U9">
        <v>2</v>
      </c>
      <c r="V9">
        <v>-3.7448099999999999E-3</v>
      </c>
      <c r="W9">
        <v>0</v>
      </c>
      <c r="X9">
        <v>0</v>
      </c>
      <c r="Y9" s="4" t="s">
        <v>44</v>
      </c>
      <c r="Z9" s="4" t="s">
        <v>42</v>
      </c>
      <c r="AA9" s="4" t="s">
        <v>44</v>
      </c>
    </row>
    <row r="10" spans="1:27" x14ac:dyDescent="0.25">
      <c r="A10">
        <v>0</v>
      </c>
      <c r="B10">
        <v>4.4999999999999998E-2</v>
      </c>
      <c r="C10">
        <v>9</v>
      </c>
      <c r="D10">
        <v>0.99490000000000001</v>
      </c>
      <c r="E10">
        <v>0</v>
      </c>
      <c r="F10">
        <v>1.742728E-2</v>
      </c>
      <c r="G10">
        <v>0.99492586999999999</v>
      </c>
      <c r="H10">
        <v>1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5.0741299999999996E-3</v>
      </c>
      <c r="P10">
        <v>-3.4218400000000002E-3</v>
      </c>
      <c r="Q10">
        <v>3.4218400000000002E-3</v>
      </c>
      <c r="R10">
        <v>-1.5494300000000001E-3</v>
      </c>
      <c r="S10">
        <v>2</v>
      </c>
      <c r="T10">
        <v>0</v>
      </c>
      <c r="U10">
        <v>2</v>
      </c>
      <c r="V10">
        <v>-6.8436800000000004E-3</v>
      </c>
      <c r="W10">
        <v>0</v>
      </c>
      <c r="X10">
        <v>0</v>
      </c>
      <c r="Y10" s="4" t="s">
        <v>45</v>
      </c>
      <c r="Z10" s="4" t="s">
        <v>42</v>
      </c>
      <c r="AA10" s="4" t="s">
        <v>45</v>
      </c>
    </row>
    <row r="11" spans="1:27" x14ac:dyDescent="0.25">
      <c r="A11">
        <v>0</v>
      </c>
      <c r="B11">
        <v>0.05</v>
      </c>
      <c r="C11">
        <v>10</v>
      </c>
      <c r="D11">
        <v>0.98809999999999998</v>
      </c>
      <c r="E11">
        <v>0</v>
      </c>
      <c r="F11">
        <v>2.6651480000000002E-2</v>
      </c>
      <c r="G11">
        <v>0.98808218999999997</v>
      </c>
      <c r="H11">
        <v>1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1.1917809999999999E-2</v>
      </c>
      <c r="P11">
        <v>-5.2330099999999997E-3</v>
      </c>
      <c r="Q11">
        <v>5.2330099999999997E-3</v>
      </c>
      <c r="R11">
        <v>-1.81117E-3</v>
      </c>
      <c r="S11">
        <v>2</v>
      </c>
      <c r="T11">
        <v>0</v>
      </c>
      <c r="U11">
        <v>2</v>
      </c>
      <c r="V11">
        <v>-1.046601E-2</v>
      </c>
      <c r="W11">
        <v>0</v>
      </c>
      <c r="X11">
        <v>0</v>
      </c>
      <c r="Y11" s="4" t="s">
        <v>46</v>
      </c>
      <c r="Z11" s="4" t="s">
        <v>42</v>
      </c>
      <c r="AA11" s="4" t="s">
        <v>46</v>
      </c>
    </row>
    <row r="12" spans="1:27" x14ac:dyDescent="0.25">
      <c r="A12">
        <v>0</v>
      </c>
      <c r="B12">
        <v>5.5E-2</v>
      </c>
      <c r="C12">
        <v>11</v>
      </c>
      <c r="D12">
        <v>0.97760000000000002</v>
      </c>
      <c r="E12">
        <v>0</v>
      </c>
      <c r="F12">
        <v>3.6935129999999997E-2</v>
      </c>
      <c r="G12">
        <v>0.97761617999999995</v>
      </c>
      <c r="H12">
        <v>1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2.2383819999999999E-2</v>
      </c>
      <c r="P12">
        <v>-7.2522000000000003E-3</v>
      </c>
      <c r="Q12">
        <v>7.2522000000000003E-3</v>
      </c>
      <c r="R12">
        <v>-2.0191900000000001E-3</v>
      </c>
      <c r="S12">
        <v>2</v>
      </c>
      <c r="T12">
        <v>0</v>
      </c>
      <c r="U12">
        <v>2</v>
      </c>
      <c r="V12">
        <v>-1.4504390000000001E-2</v>
      </c>
      <c r="W12">
        <v>0</v>
      </c>
      <c r="X12">
        <v>0</v>
      </c>
      <c r="Y12" s="4" t="s">
        <v>47</v>
      </c>
      <c r="Z12" s="4" t="s">
        <v>42</v>
      </c>
      <c r="AA12" s="4" t="s">
        <v>47</v>
      </c>
    </row>
    <row r="13" spans="1:27" x14ac:dyDescent="0.25">
      <c r="A13">
        <v>0</v>
      </c>
      <c r="B13">
        <v>0.06</v>
      </c>
      <c r="C13">
        <v>12</v>
      </c>
      <c r="D13">
        <v>0.96309999999999996</v>
      </c>
      <c r="E13">
        <v>0</v>
      </c>
      <c r="F13">
        <v>4.8056880000000003E-2</v>
      </c>
      <c r="G13">
        <v>0.96311179000000002</v>
      </c>
      <c r="H13">
        <v>1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3.6888209999999998E-2</v>
      </c>
      <c r="P13">
        <v>-9.4359500000000002E-3</v>
      </c>
      <c r="Q13">
        <v>9.4359500000000002E-3</v>
      </c>
      <c r="R13">
        <v>-2.1837499999999999E-3</v>
      </c>
      <c r="S13">
        <v>2</v>
      </c>
      <c r="T13">
        <v>0</v>
      </c>
      <c r="U13">
        <v>2</v>
      </c>
      <c r="V13">
        <v>-1.8871889999999999E-2</v>
      </c>
      <c r="W13">
        <v>0</v>
      </c>
      <c r="X13">
        <v>0</v>
      </c>
      <c r="Y13" s="4" t="s">
        <v>48</v>
      </c>
      <c r="Z13" s="4" t="s">
        <v>42</v>
      </c>
      <c r="AA13" s="4" t="s">
        <v>48</v>
      </c>
    </row>
    <row r="14" spans="1:27" x14ac:dyDescent="0.25">
      <c r="A14">
        <v>0</v>
      </c>
      <c r="B14">
        <v>6.5000000000000002E-2</v>
      </c>
      <c r="C14">
        <v>13</v>
      </c>
      <c r="D14">
        <v>0.94420000000000004</v>
      </c>
      <c r="E14">
        <v>0</v>
      </c>
      <c r="F14">
        <v>5.9819240000000003E-2</v>
      </c>
      <c r="G14">
        <v>0.94423990000000002</v>
      </c>
      <c r="H14">
        <v>1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5.57601E-2</v>
      </c>
      <c r="P14">
        <v>-1.1745480000000001E-2</v>
      </c>
      <c r="Q14">
        <v>1.1745480000000001E-2</v>
      </c>
      <c r="R14">
        <v>-2.3095300000000002E-3</v>
      </c>
      <c r="S14">
        <v>2</v>
      </c>
      <c r="T14">
        <v>0</v>
      </c>
      <c r="U14">
        <v>2</v>
      </c>
      <c r="V14">
        <v>-2.3490960000000002E-2</v>
      </c>
      <c r="W14">
        <v>0</v>
      </c>
      <c r="X14">
        <v>0</v>
      </c>
      <c r="Y14" s="4" t="s">
        <v>49</v>
      </c>
      <c r="Z14" s="4" t="s">
        <v>42</v>
      </c>
      <c r="AA14" s="4" t="s">
        <v>49</v>
      </c>
    </row>
    <row r="15" spans="1:27" x14ac:dyDescent="0.25">
      <c r="A15">
        <v>0</v>
      </c>
      <c r="B15">
        <v>7.0000000000000007E-2</v>
      </c>
      <c r="C15">
        <v>14</v>
      </c>
      <c r="D15">
        <v>0.92069999999999996</v>
      </c>
      <c r="E15">
        <v>0</v>
      </c>
      <c r="F15">
        <v>7.2036349999999999E-2</v>
      </c>
      <c r="G15">
        <v>0.92074893999999996</v>
      </c>
      <c r="H15">
        <v>1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7.9251059999999998E-2</v>
      </c>
      <c r="P15">
        <v>-1.41443E-2</v>
      </c>
      <c r="Q15">
        <v>1.41443E-2</v>
      </c>
      <c r="R15">
        <v>-2.3988199999999999E-3</v>
      </c>
      <c r="S15">
        <v>2</v>
      </c>
      <c r="T15">
        <v>0</v>
      </c>
      <c r="U15">
        <v>2</v>
      </c>
      <c r="V15">
        <v>-2.8288609999999999E-2</v>
      </c>
      <c r="W15">
        <v>0</v>
      </c>
      <c r="X15">
        <v>0</v>
      </c>
      <c r="Y15" s="4" t="s">
        <v>50</v>
      </c>
      <c r="Z15" s="4" t="s">
        <v>42</v>
      </c>
      <c r="AA15" s="4" t="s">
        <v>50</v>
      </c>
    </row>
    <row r="16" spans="1:27" x14ac:dyDescent="0.25">
      <c r="A16">
        <v>0</v>
      </c>
      <c r="B16">
        <v>7.4999999999999997E-2</v>
      </c>
      <c r="C16">
        <v>15</v>
      </c>
      <c r="D16">
        <v>0.89249999999999996</v>
      </c>
      <c r="E16">
        <v>0</v>
      </c>
      <c r="F16">
        <v>8.452838E-2</v>
      </c>
      <c r="G16">
        <v>0.89246033000000002</v>
      </c>
      <c r="H16">
        <v>1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0.10753967</v>
      </c>
      <c r="P16">
        <v>-1.6597110000000002E-2</v>
      </c>
      <c r="Q16">
        <v>1.6597110000000002E-2</v>
      </c>
      <c r="R16">
        <v>-2.4528100000000001E-3</v>
      </c>
      <c r="S16">
        <v>2</v>
      </c>
      <c r="T16">
        <v>0</v>
      </c>
      <c r="U16">
        <v>2</v>
      </c>
      <c r="V16">
        <v>-3.3194220000000003E-2</v>
      </c>
      <c r="W16">
        <v>0</v>
      </c>
      <c r="X16">
        <v>0</v>
      </c>
      <c r="Y16" s="4" t="s">
        <v>51</v>
      </c>
      <c r="Z16" s="4" t="s">
        <v>42</v>
      </c>
      <c r="AA16" s="4" t="s">
        <v>51</v>
      </c>
    </row>
    <row r="17" spans="1:27" x14ac:dyDescent="0.25">
      <c r="A17">
        <v>0</v>
      </c>
      <c r="B17">
        <v>0.08</v>
      </c>
      <c r="C17">
        <v>16</v>
      </c>
      <c r="D17">
        <v>0.85929999999999995</v>
      </c>
      <c r="E17">
        <v>0</v>
      </c>
      <c r="F17">
        <v>9.7119239999999996E-2</v>
      </c>
      <c r="G17">
        <v>0.85926610999999997</v>
      </c>
      <c r="H17">
        <v>1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0.14073389</v>
      </c>
      <c r="P17">
        <v>-1.9069320000000001E-2</v>
      </c>
      <c r="Q17">
        <v>1.9069320000000001E-2</v>
      </c>
      <c r="R17">
        <v>-2.4722099999999999E-3</v>
      </c>
      <c r="S17">
        <v>2</v>
      </c>
      <c r="T17">
        <v>0</v>
      </c>
      <c r="U17">
        <v>2</v>
      </c>
      <c r="V17">
        <v>-3.8138640000000001E-2</v>
      </c>
      <c r="W17">
        <v>0</v>
      </c>
      <c r="X17">
        <v>0</v>
      </c>
      <c r="Y17" s="4" t="s">
        <v>52</v>
      </c>
      <c r="Z17" s="4" t="s">
        <v>42</v>
      </c>
      <c r="AA17" s="4" t="s">
        <v>52</v>
      </c>
    </row>
    <row r="18" spans="1:27" x14ac:dyDescent="0.25">
      <c r="A18">
        <v>0</v>
      </c>
      <c r="B18">
        <v>8.5000000000000006E-2</v>
      </c>
      <c r="C18">
        <v>17</v>
      </c>
      <c r="D18">
        <v>0.82110000000000005</v>
      </c>
      <c r="E18">
        <v>0</v>
      </c>
      <c r="F18">
        <v>0.10963595</v>
      </c>
      <c r="G18">
        <v>0.82112746999999997</v>
      </c>
      <c r="H18">
        <v>1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0.17887253</v>
      </c>
      <c r="P18">
        <v>-2.1526969999999999E-2</v>
      </c>
      <c r="Q18">
        <v>2.1526969999999999E-2</v>
      </c>
      <c r="R18">
        <v>-2.45765E-3</v>
      </c>
      <c r="S18">
        <v>2</v>
      </c>
      <c r="T18">
        <v>0</v>
      </c>
      <c r="U18">
        <v>2</v>
      </c>
      <c r="V18">
        <v>-4.3053939999999999E-2</v>
      </c>
      <c r="W18">
        <v>0</v>
      </c>
      <c r="X18">
        <v>0</v>
      </c>
      <c r="Y18" s="4" t="s">
        <v>53</v>
      </c>
      <c r="Z18" s="4" t="s">
        <v>42</v>
      </c>
      <c r="AA18" s="4" t="s">
        <v>53</v>
      </c>
    </row>
    <row r="19" spans="1:27" x14ac:dyDescent="0.25">
      <c r="A19">
        <v>0</v>
      </c>
      <c r="B19">
        <v>0.09</v>
      </c>
      <c r="C19">
        <v>18</v>
      </c>
      <c r="D19">
        <v>0.77810000000000001</v>
      </c>
      <c r="E19">
        <v>0</v>
      </c>
      <c r="F19">
        <v>0.12190911</v>
      </c>
      <c r="G19">
        <v>0.77807353999999995</v>
      </c>
      <c r="H19">
        <v>1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0.22192645999999999</v>
      </c>
      <c r="P19">
        <v>-2.3936800000000001E-2</v>
      </c>
      <c r="Q19">
        <v>2.3936800000000001E-2</v>
      </c>
      <c r="R19">
        <v>-2.40983E-3</v>
      </c>
      <c r="S19">
        <v>2</v>
      </c>
      <c r="T19">
        <v>0</v>
      </c>
      <c r="U19">
        <v>2</v>
      </c>
      <c r="V19">
        <v>-4.7873600000000002E-2</v>
      </c>
      <c r="W19">
        <v>0</v>
      </c>
      <c r="X19">
        <v>0</v>
      </c>
      <c r="Y19" s="4" t="s">
        <v>54</v>
      </c>
      <c r="Z19" s="4" t="s">
        <v>42</v>
      </c>
      <c r="AA19" s="4" t="s">
        <v>54</v>
      </c>
    </row>
    <row r="20" spans="1:27" x14ac:dyDescent="0.25">
      <c r="A20">
        <v>0</v>
      </c>
      <c r="B20">
        <v>9.5000000000000001E-2</v>
      </c>
      <c r="C20">
        <v>19</v>
      </c>
      <c r="D20">
        <v>0.73019999999999996</v>
      </c>
      <c r="E20">
        <v>0</v>
      </c>
      <c r="F20">
        <v>0.13377405000000001</v>
      </c>
      <c r="G20">
        <v>0.73019993999999999</v>
      </c>
      <c r="H20">
        <v>1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0.26980006000000001</v>
      </c>
      <c r="P20">
        <v>-2.626647E-2</v>
      </c>
      <c r="Q20">
        <v>2.626647E-2</v>
      </c>
      <c r="R20">
        <v>-2.3296699999999998E-3</v>
      </c>
      <c r="S20">
        <v>2</v>
      </c>
      <c r="T20">
        <v>0</v>
      </c>
      <c r="U20">
        <v>2</v>
      </c>
      <c r="V20">
        <v>-5.2532950000000002E-2</v>
      </c>
      <c r="W20">
        <v>0</v>
      </c>
      <c r="X20">
        <v>0</v>
      </c>
      <c r="Y20" s="4" t="s">
        <v>55</v>
      </c>
      <c r="Z20" s="4" t="s">
        <v>42</v>
      </c>
      <c r="AA20" s="4" t="s">
        <v>55</v>
      </c>
    </row>
    <row r="21" spans="1:27" x14ac:dyDescent="0.25">
      <c r="A21">
        <v>0</v>
      </c>
      <c r="B21">
        <v>0.1</v>
      </c>
      <c r="C21">
        <v>20</v>
      </c>
      <c r="D21">
        <v>0.67769999999999997</v>
      </c>
      <c r="E21">
        <v>0</v>
      </c>
      <c r="F21">
        <v>0.14507222</v>
      </c>
      <c r="G21">
        <v>0.67766700000000002</v>
      </c>
      <c r="H21">
        <v>1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0.32233299999999998</v>
      </c>
      <c r="P21">
        <v>-2.8484860000000001E-2</v>
      </c>
      <c r="Q21">
        <v>2.8484860000000001E-2</v>
      </c>
      <c r="R21">
        <v>-2.2183900000000002E-3</v>
      </c>
      <c r="S21">
        <v>2</v>
      </c>
      <c r="T21">
        <v>0</v>
      </c>
      <c r="U21">
        <v>2</v>
      </c>
      <c r="V21">
        <v>-5.6969730000000003E-2</v>
      </c>
      <c r="W21">
        <v>0</v>
      </c>
      <c r="X21">
        <v>0</v>
      </c>
      <c r="Y21" s="4" t="s">
        <v>56</v>
      </c>
      <c r="Z21" s="4" t="s">
        <v>42</v>
      </c>
      <c r="AA21" s="4" t="s">
        <v>56</v>
      </c>
    </row>
    <row r="22" spans="1:27" x14ac:dyDescent="0.25">
      <c r="A22">
        <v>0</v>
      </c>
      <c r="B22">
        <v>0.105</v>
      </c>
      <c r="C22">
        <v>21</v>
      </c>
      <c r="D22">
        <v>0.62070000000000003</v>
      </c>
      <c r="E22">
        <v>0</v>
      </c>
      <c r="F22">
        <v>0.15565295000000001</v>
      </c>
      <c r="G22">
        <v>0.62069726999999997</v>
      </c>
      <c r="H22">
        <v>1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0.37930272999999998</v>
      </c>
      <c r="P22">
        <v>-3.0562389999999998E-2</v>
      </c>
      <c r="Q22">
        <v>3.0562389999999998E-2</v>
      </c>
      <c r="R22">
        <v>-2.0775199999999998E-3</v>
      </c>
      <c r="S22">
        <v>2</v>
      </c>
      <c r="T22">
        <v>0</v>
      </c>
      <c r="U22">
        <v>2</v>
      </c>
      <c r="V22">
        <v>-6.1124770000000002E-2</v>
      </c>
      <c r="W22">
        <v>0</v>
      </c>
      <c r="X22">
        <v>0</v>
      </c>
      <c r="Y22" s="4" t="s">
        <v>57</v>
      </c>
      <c r="Z22" s="4" t="s">
        <v>42</v>
      </c>
      <c r="AA22" s="4" t="s">
        <v>57</v>
      </c>
    </row>
    <row r="23" spans="1:27" x14ac:dyDescent="0.25">
      <c r="A23">
        <v>0</v>
      </c>
      <c r="B23">
        <v>0.11</v>
      </c>
      <c r="C23">
        <v>22</v>
      </c>
      <c r="D23">
        <v>0.55959999999999999</v>
      </c>
      <c r="E23">
        <v>0</v>
      </c>
      <c r="F23">
        <v>0.16537516999999999</v>
      </c>
      <c r="G23">
        <v>0.55957250000000003</v>
      </c>
      <c r="H23">
        <v>1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0.44042750000000003</v>
      </c>
      <c r="P23">
        <v>-3.2471340000000001E-2</v>
      </c>
      <c r="Q23">
        <v>3.2471340000000001E-2</v>
      </c>
      <c r="R23">
        <v>-1.90895E-3</v>
      </c>
      <c r="S23">
        <v>2</v>
      </c>
      <c r="T23">
        <v>0</v>
      </c>
      <c r="U23">
        <v>2</v>
      </c>
      <c r="V23">
        <v>-6.4942680000000003E-2</v>
      </c>
      <c r="W23">
        <v>0</v>
      </c>
      <c r="X23">
        <v>0</v>
      </c>
      <c r="Y23" s="4" t="s">
        <v>58</v>
      </c>
      <c r="Z23" s="4" t="s">
        <v>42</v>
      </c>
      <c r="AA23" s="4" t="s">
        <v>58</v>
      </c>
    </row>
    <row r="24" spans="1:27" x14ac:dyDescent="0.25">
      <c r="A24">
        <v>0</v>
      </c>
      <c r="B24">
        <v>0.115</v>
      </c>
      <c r="C24">
        <v>23</v>
      </c>
      <c r="D24">
        <v>0.49459999999999998</v>
      </c>
      <c r="E24">
        <v>0</v>
      </c>
      <c r="F24">
        <v>0.17410919999999999</v>
      </c>
      <c r="G24">
        <v>0.49462982</v>
      </c>
      <c r="H24">
        <v>1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0.50537018</v>
      </c>
      <c r="P24">
        <v>-3.4186260000000003E-2</v>
      </c>
      <c r="Q24">
        <v>3.4186260000000003E-2</v>
      </c>
      <c r="R24">
        <v>-1.71492E-3</v>
      </c>
      <c r="S24">
        <v>2</v>
      </c>
      <c r="T24">
        <v>0</v>
      </c>
      <c r="U24">
        <v>2</v>
      </c>
      <c r="V24">
        <v>-6.8372520000000006E-2</v>
      </c>
      <c r="W24">
        <v>0</v>
      </c>
      <c r="X24">
        <v>0</v>
      </c>
      <c r="Y24" s="4" t="s">
        <v>59</v>
      </c>
      <c r="Z24" s="4" t="s">
        <v>42</v>
      </c>
      <c r="AA24" s="4" t="s">
        <v>59</v>
      </c>
    </row>
    <row r="25" spans="1:27" x14ac:dyDescent="0.25">
      <c r="A25">
        <v>0</v>
      </c>
      <c r="B25">
        <v>0.12</v>
      </c>
      <c r="C25">
        <v>24</v>
      </c>
      <c r="D25">
        <v>0.42630000000000001</v>
      </c>
      <c r="E25">
        <v>0</v>
      </c>
      <c r="F25">
        <v>0.18173848000000001</v>
      </c>
      <c r="G25">
        <v>0.42625730000000001</v>
      </c>
      <c r="H25">
        <v>1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0.57374270000000005</v>
      </c>
      <c r="P25">
        <v>-3.5684269999999997E-2</v>
      </c>
      <c r="Q25">
        <v>3.5684269999999997E-2</v>
      </c>
      <c r="R25">
        <v>-1.498E-3</v>
      </c>
      <c r="S25">
        <v>2</v>
      </c>
      <c r="T25">
        <v>0</v>
      </c>
      <c r="U25">
        <v>2</v>
      </c>
      <c r="V25">
        <v>-7.1368529999999999E-2</v>
      </c>
      <c r="W25">
        <v>0</v>
      </c>
      <c r="X25">
        <v>0</v>
      </c>
      <c r="Y25" s="4" t="s">
        <v>60</v>
      </c>
      <c r="Z25" s="4" t="s">
        <v>42</v>
      </c>
      <c r="AA25" s="4" t="s">
        <v>60</v>
      </c>
    </row>
    <row r="26" spans="1:27" x14ac:dyDescent="0.25">
      <c r="A26">
        <v>0</v>
      </c>
      <c r="B26">
        <v>0.125</v>
      </c>
      <c r="C26">
        <v>25</v>
      </c>
      <c r="D26">
        <v>0.35489999999999999</v>
      </c>
      <c r="E26">
        <v>0</v>
      </c>
      <c r="F26">
        <v>0.18816105999999999</v>
      </c>
      <c r="G26">
        <v>0.35488876000000003</v>
      </c>
      <c r="H26">
        <v>1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0.64511123999999997</v>
      </c>
      <c r="P26">
        <v>-3.694534E-2</v>
      </c>
      <c r="Q26">
        <v>3.694534E-2</v>
      </c>
      <c r="R26">
        <v>-1.26107E-3</v>
      </c>
      <c r="S26">
        <v>2</v>
      </c>
      <c r="T26">
        <v>0</v>
      </c>
      <c r="U26">
        <v>2</v>
      </c>
      <c r="V26">
        <v>-7.389068E-2</v>
      </c>
      <c r="W26">
        <v>0</v>
      </c>
      <c r="X26">
        <v>0</v>
      </c>
      <c r="Y26" s="4" t="s">
        <v>61</v>
      </c>
      <c r="Z26" s="4" t="s">
        <v>42</v>
      </c>
      <c r="AA26" s="4" t="s">
        <v>61</v>
      </c>
    </row>
    <row r="27" spans="1:27" x14ac:dyDescent="0.25">
      <c r="A27">
        <v>0</v>
      </c>
      <c r="B27">
        <v>0.13</v>
      </c>
      <c r="C27">
        <v>26</v>
      </c>
      <c r="D27">
        <v>0.28100000000000003</v>
      </c>
      <c r="E27">
        <v>0</v>
      </c>
      <c r="F27">
        <v>0.19329107000000001</v>
      </c>
      <c r="G27">
        <v>0.28099808999999998</v>
      </c>
      <c r="H27">
        <v>1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0.71900191000000002</v>
      </c>
      <c r="P27">
        <v>-3.7952609999999998E-2</v>
      </c>
      <c r="Q27">
        <v>3.7952609999999998E-2</v>
      </c>
      <c r="R27">
        <v>-1.00727E-3</v>
      </c>
      <c r="S27">
        <v>2</v>
      </c>
      <c r="T27">
        <v>0</v>
      </c>
      <c r="U27">
        <v>2</v>
      </c>
      <c r="V27">
        <v>-7.5905219999999995E-2</v>
      </c>
      <c r="W27">
        <v>0</v>
      </c>
      <c r="X27">
        <v>0</v>
      </c>
      <c r="Y27" s="4" t="s">
        <v>62</v>
      </c>
      <c r="Z27" s="4" t="s">
        <v>42</v>
      </c>
      <c r="AA27" s="4" t="s">
        <v>62</v>
      </c>
    </row>
    <row r="28" spans="1:27" x14ac:dyDescent="0.25">
      <c r="A28">
        <v>0</v>
      </c>
      <c r="B28">
        <v>0.13500000000000001</v>
      </c>
      <c r="C28">
        <v>27</v>
      </c>
      <c r="D28">
        <v>0.2051</v>
      </c>
      <c r="E28">
        <v>0</v>
      </c>
      <c r="F28">
        <v>0.19705985000000001</v>
      </c>
      <c r="G28">
        <v>0.20509285999999999</v>
      </c>
      <c r="H28">
        <v>1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0.79490713999999996</v>
      </c>
      <c r="P28">
        <v>-3.8692610000000002E-2</v>
      </c>
      <c r="Q28">
        <v>3.8692610000000002E-2</v>
      </c>
      <c r="R28">
        <v>-7.3999999999999999E-4</v>
      </c>
      <c r="S28">
        <v>2</v>
      </c>
      <c r="T28">
        <v>0</v>
      </c>
      <c r="U28">
        <v>2</v>
      </c>
      <c r="V28">
        <v>-7.7385220000000005E-2</v>
      </c>
      <c r="W28">
        <v>0</v>
      </c>
      <c r="X28">
        <v>0</v>
      </c>
      <c r="Y28" s="4" t="s">
        <v>63</v>
      </c>
      <c r="Z28" s="4" t="s">
        <v>42</v>
      </c>
      <c r="AA28" s="4" t="s">
        <v>63</v>
      </c>
    </row>
    <row r="29" spans="1:27" x14ac:dyDescent="0.25">
      <c r="A29">
        <v>0</v>
      </c>
      <c r="B29">
        <v>0.14000000000000001</v>
      </c>
      <c r="C29">
        <v>28</v>
      </c>
      <c r="D29">
        <v>0.12770000000000001</v>
      </c>
      <c r="E29">
        <v>0</v>
      </c>
      <c r="F29">
        <v>0.19941693999999999</v>
      </c>
      <c r="G29">
        <v>0.12770764000000001</v>
      </c>
      <c r="H29">
        <v>1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0.87229235999999999</v>
      </c>
      <c r="P29">
        <v>-3.9155420000000003E-2</v>
      </c>
      <c r="Q29">
        <v>3.9155420000000003E-2</v>
      </c>
      <c r="R29">
        <v>-4.6281000000000002E-4</v>
      </c>
      <c r="S29">
        <v>2</v>
      </c>
      <c r="T29">
        <v>0</v>
      </c>
      <c r="U29">
        <v>2</v>
      </c>
      <c r="V29">
        <v>-7.8310850000000001E-2</v>
      </c>
      <c r="W29">
        <v>0</v>
      </c>
      <c r="X29">
        <v>0</v>
      </c>
      <c r="Y29" s="4" t="s">
        <v>64</v>
      </c>
      <c r="Z29" s="4" t="s">
        <v>42</v>
      </c>
      <c r="AA29" s="4" t="s">
        <v>64</v>
      </c>
    </row>
    <row r="30" spans="1:27" x14ac:dyDescent="0.25">
      <c r="A30">
        <v>0</v>
      </c>
      <c r="B30">
        <v>0.14499999999999999</v>
      </c>
      <c r="C30">
        <v>29</v>
      </c>
      <c r="D30">
        <v>4.9399999999999999E-2</v>
      </c>
      <c r="E30">
        <v>0</v>
      </c>
      <c r="F30">
        <v>0.20033076999999999</v>
      </c>
      <c r="G30">
        <v>4.9396790000000003E-2</v>
      </c>
      <c r="H30">
        <v>1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0.95060321000000003</v>
      </c>
      <c r="P30">
        <v>-3.9334849999999998E-2</v>
      </c>
      <c r="Q30">
        <v>3.9334849999999998E-2</v>
      </c>
      <c r="R30">
        <v>-1.7943000000000001E-4</v>
      </c>
      <c r="S30">
        <v>2</v>
      </c>
      <c r="T30">
        <v>0</v>
      </c>
      <c r="U30">
        <v>2</v>
      </c>
      <c r="V30">
        <v>-7.8669710000000004E-2</v>
      </c>
      <c r="W30">
        <v>0</v>
      </c>
      <c r="X30">
        <v>0</v>
      </c>
      <c r="Y30" s="4" t="s">
        <v>65</v>
      </c>
      <c r="Z30" s="4" t="s">
        <v>42</v>
      </c>
      <c r="AA30" s="4" t="s">
        <v>65</v>
      </c>
    </row>
    <row r="31" spans="1:27" x14ac:dyDescent="0.25">
      <c r="A31">
        <v>0</v>
      </c>
      <c r="B31">
        <v>0.15</v>
      </c>
      <c r="C31">
        <v>30</v>
      </c>
      <c r="D31">
        <v>-2.93E-2</v>
      </c>
      <c r="E31">
        <v>0</v>
      </c>
      <c r="F31">
        <v>0.19978908000000001</v>
      </c>
      <c r="G31">
        <v>2.9272920000000001E-2</v>
      </c>
      <c r="H31">
        <v>1</v>
      </c>
      <c r="I31">
        <v>0</v>
      </c>
      <c r="J31">
        <v>3.1415999999999999</v>
      </c>
      <c r="K31">
        <v>0</v>
      </c>
      <c r="L31">
        <v>0</v>
      </c>
      <c r="M31">
        <v>0</v>
      </c>
      <c r="N31">
        <v>0</v>
      </c>
      <c r="O31" s="3">
        <v>0.97072707999999996</v>
      </c>
      <c r="P31">
        <v>-3.9228499999999999E-2</v>
      </c>
      <c r="Q31">
        <v>3.9228499999999999E-2</v>
      </c>
      <c r="R31">
        <v>1.0636E-4</v>
      </c>
      <c r="S31">
        <v>2</v>
      </c>
      <c r="T31">
        <v>0</v>
      </c>
      <c r="U31">
        <v>2</v>
      </c>
      <c r="V31">
        <v>-7.8456990000000004E-2</v>
      </c>
      <c r="W31">
        <v>0</v>
      </c>
      <c r="X31">
        <v>0</v>
      </c>
      <c r="Y31" s="4" t="s">
        <v>66</v>
      </c>
      <c r="Z31" s="4" t="s">
        <v>42</v>
      </c>
      <c r="AA31" s="4" t="s">
        <v>67</v>
      </c>
    </row>
    <row r="32" spans="1:27" x14ac:dyDescent="0.25">
      <c r="A32">
        <v>0</v>
      </c>
      <c r="B32">
        <v>0.155</v>
      </c>
      <c r="C32">
        <v>31</v>
      </c>
      <c r="D32">
        <v>-0.1077</v>
      </c>
      <c r="E32">
        <v>0</v>
      </c>
      <c r="F32">
        <v>0.19779915000000001</v>
      </c>
      <c r="G32">
        <v>0.10772991</v>
      </c>
      <c r="H32">
        <v>1</v>
      </c>
      <c r="I32">
        <v>0</v>
      </c>
      <c r="J32">
        <v>3.1415999999999999</v>
      </c>
      <c r="K32">
        <v>0</v>
      </c>
      <c r="L32">
        <v>0</v>
      </c>
      <c r="M32">
        <v>0</v>
      </c>
      <c r="N32">
        <v>0</v>
      </c>
      <c r="O32">
        <v>0.89227009000000002</v>
      </c>
      <c r="P32">
        <v>-3.8837770000000001E-2</v>
      </c>
      <c r="Q32">
        <v>3.8837770000000001E-2</v>
      </c>
      <c r="R32">
        <v>3.9072E-4</v>
      </c>
      <c r="S32">
        <v>2</v>
      </c>
      <c r="T32">
        <v>0</v>
      </c>
      <c r="U32">
        <v>2</v>
      </c>
      <c r="V32">
        <v>-7.7675549999999996E-2</v>
      </c>
      <c r="W32">
        <v>0</v>
      </c>
      <c r="X32">
        <v>0</v>
      </c>
      <c r="Y32" s="4" t="s">
        <v>68</v>
      </c>
      <c r="Z32" s="4" t="s">
        <v>42</v>
      </c>
      <c r="AA32" s="4" t="s">
        <v>69</v>
      </c>
    </row>
    <row r="33" spans="1:27" x14ac:dyDescent="0.25">
      <c r="A33">
        <v>0</v>
      </c>
      <c r="B33">
        <v>0.16</v>
      </c>
      <c r="C33">
        <v>32</v>
      </c>
      <c r="D33">
        <v>-0.18540000000000001</v>
      </c>
      <c r="E33">
        <v>0</v>
      </c>
      <c r="F33">
        <v>0.19438763000000001</v>
      </c>
      <c r="G33">
        <v>0.18540545</v>
      </c>
      <c r="H33">
        <v>1</v>
      </c>
      <c r="I33">
        <v>0</v>
      </c>
      <c r="J33">
        <v>3.1415999999999999</v>
      </c>
      <c r="K33">
        <v>0</v>
      </c>
      <c r="L33">
        <v>0</v>
      </c>
      <c r="M33">
        <v>0</v>
      </c>
      <c r="N33">
        <v>0</v>
      </c>
      <c r="O33">
        <v>0.81459455000000003</v>
      </c>
      <c r="P33">
        <v>-3.8167920000000001E-2</v>
      </c>
      <c r="Q33">
        <v>3.8167920000000001E-2</v>
      </c>
      <c r="R33">
        <v>6.6985000000000005E-4</v>
      </c>
      <c r="S33">
        <v>2</v>
      </c>
      <c r="T33">
        <v>0</v>
      </c>
      <c r="U33">
        <v>2</v>
      </c>
      <c r="V33">
        <v>-7.6335840000000002E-2</v>
      </c>
      <c r="W33">
        <v>0</v>
      </c>
      <c r="X33">
        <v>0</v>
      </c>
      <c r="Y33" s="4" t="s">
        <v>70</v>
      </c>
      <c r="Z33" s="4" t="s">
        <v>42</v>
      </c>
      <c r="AA33" s="4" t="s">
        <v>71</v>
      </c>
    </row>
    <row r="34" spans="1:27" x14ac:dyDescent="0.25">
      <c r="A34">
        <v>0</v>
      </c>
      <c r="B34">
        <v>0.16500000000000001</v>
      </c>
      <c r="C34">
        <v>33</v>
      </c>
      <c r="D34">
        <v>-0.26169999999999999</v>
      </c>
      <c r="E34">
        <v>0</v>
      </c>
      <c r="F34">
        <v>0.18960019</v>
      </c>
      <c r="G34">
        <v>0.26174130000000001</v>
      </c>
      <c r="H34">
        <v>1</v>
      </c>
      <c r="I34">
        <v>0</v>
      </c>
      <c r="J34">
        <v>3.1415999999999999</v>
      </c>
      <c r="K34">
        <v>0</v>
      </c>
      <c r="L34">
        <v>0</v>
      </c>
      <c r="M34">
        <v>0</v>
      </c>
      <c r="N34">
        <v>0</v>
      </c>
      <c r="O34">
        <v>0.73825870000000005</v>
      </c>
      <c r="P34">
        <v>-3.7227910000000003E-2</v>
      </c>
      <c r="Q34">
        <v>3.7227910000000003E-2</v>
      </c>
      <c r="R34">
        <v>9.4001000000000002E-4</v>
      </c>
      <c r="S34">
        <v>2</v>
      </c>
      <c r="T34">
        <v>0</v>
      </c>
      <c r="U34">
        <v>2</v>
      </c>
      <c r="V34">
        <v>-7.4455820000000006E-2</v>
      </c>
      <c r="W34">
        <v>0</v>
      </c>
      <c r="X34">
        <v>0</v>
      </c>
      <c r="Y34" s="4" t="s">
        <v>72</v>
      </c>
      <c r="Z34" s="4" t="s">
        <v>42</v>
      </c>
      <c r="AA34" s="4" t="s">
        <v>73</v>
      </c>
    </row>
    <row r="35" spans="1:27" x14ac:dyDescent="0.25">
      <c r="A35">
        <v>0</v>
      </c>
      <c r="B35">
        <v>0.17</v>
      </c>
      <c r="C35">
        <v>34</v>
      </c>
      <c r="D35">
        <v>-0.3362</v>
      </c>
      <c r="E35">
        <v>0</v>
      </c>
      <c r="F35">
        <v>0.18350093000000001</v>
      </c>
      <c r="G35">
        <v>0.33619712000000002</v>
      </c>
      <c r="H35">
        <v>1</v>
      </c>
      <c r="I35">
        <v>0</v>
      </c>
      <c r="J35">
        <v>3.1415999999999999</v>
      </c>
      <c r="K35">
        <v>0</v>
      </c>
      <c r="L35">
        <v>0</v>
      </c>
      <c r="M35">
        <v>0</v>
      </c>
      <c r="N35">
        <v>0</v>
      </c>
      <c r="O35">
        <v>0.66380287999999998</v>
      </c>
      <c r="P35">
        <v>-3.6030319999999998E-2</v>
      </c>
      <c r="Q35">
        <v>3.6030319999999998E-2</v>
      </c>
      <c r="R35">
        <v>1.1975899999999999E-3</v>
      </c>
      <c r="S35">
        <v>2</v>
      </c>
      <c r="T35">
        <v>0</v>
      </c>
      <c r="U35">
        <v>2</v>
      </c>
      <c r="V35">
        <v>-7.2060650000000004E-2</v>
      </c>
      <c r="W35">
        <v>0</v>
      </c>
      <c r="X35">
        <v>0</v>
      </c>
      <c r="Y35" s="4" t="s">
        <v>74</v>
      </c>
      <c r="Z35" s="4" t="s">
        <v>42</v>
      </c>
      <c r="AA35" s="4" t="s">
        <v>75</v>
      </c>
    </row>
    <row r="36" spans="1:27" x14ac:dyDescent="0.25">
      <c r="A36">
        <v>0</v>
      </c>
      <c r="B36">
        <v>0.17499999999999999</v>
      </c>
      <c r="C36">
        <v>35</v>
      </c>
      <c r="D36">
        <v>-0.4083</v>
      </c>
      <c r="E36">
        <v>0</v>
      </c>
      <c r="F36">
        <v>0.17617142</v>
      </c>
      <c r="G36">
        <v>0.40825776000000003</v>
      </c>
      <c r="H36">
        <v>1</v>
      </c>
      <c r="I36">
        <v>0</v>
      </c>
      <c r="J36">
        <v>3.1415999999999999</v>
      </c>
      <c r="K36">
        <v>0</v>
      </c>
      <c r="L36">
        <v>0</v>
      </c>
      <c r="M36">
        <v>0</v>
      </c>
      <c r="N36">
        <v>0</v>
      </c>
      <c r="O36">
        <v>0.59174223999999997</v>
      </c>
      <c r="P36">
        <v>-3.4591179999999999E-2</v>
      </c>
      <c r="Q36">
        <v>3.4591179999999999E-2</v>
      </c>
      <c r="R36">
        <v>1.4391499999999999E-3</v>
      </c>
      <c r="S36">
        <v>2</v>
      </c>
      <c r="T36">
        <v>0</v>
      </c>
      <c r="U36">
        <v>2</v>
      </c>
      <c r="V36">
        <v>-6.9182350000000004E-2</v>
      </c>
      <c r="W36">
        <v>0</v>
      </c>
      <c r="X36">
        <v>0</v>
      </c>
      <c r="Y36" s="4" t="s">
        <v>76</v>
      </c>
      <c r="Z36" s="4" t="s">
        <v>42</v>
      </c>
      <c r="AA36" s="4" t="s">
        <v>77</v>
      </c>
    </row>
    <row r="37" spans="1:27" x14ac:dyDescent="0.25">
      <c r="A37">
        <v>0</v>
      </c>
      <c r="B37">
        <v>0.18</v>
      </c>
      <c r="C37">
        <v>36</v>
      </c>
      <c r="D37">
        <v>-0.47739999999999999</v>
      </c>
      <c r="E37">
        <v>0</v>
      </c>
      <c r="F37">
        <v>0.16770959999999999</v>
      </c>
      <c r="G37">
        <v>0.47744012000000002</v>
      </c>
      <c r="H37">
        <v>1</v>
      </c>
      <c r="I37">
        <v>0</v>
      </c>
      <c r="J37">
        <v>3.1415999999999999</v>
      </c>
      <c r="K37">
        <v>0</v>
      </c>
      <c r="L37">
        <v>0</v>
      </c>
      <c r="M37">
        <v>0</v>
      </c>
      <c r="N37">
        <v>0</v>
      </c>
      <c r="O37">
        <v>0.52255987999999998</v>
      </c>
      <c r="P37">
        <v>-3.2929699999999999E-2</v>
      </c>
      <c r="Q37">
        <v>3.2929699999999999E-2</v>
      </c>
      <c r="R37">
        <v>1.66147E-3</v>
      </c>
      <c r="S37">
        <v>2</v>
      </c>
      <c r="T37">
        <v>0</v>
      </c>
      <c r="U37">
        <v>2</v>
      </c>
      <c r="V37">
        <v>-6.5859409999999993E-2</v>
      </c>
      <c r="W37">
        <v>0</v>
      </c>
      <c r="X37">
        <v>0</v>
      </c>
      <c r="Y37" s="4" t="s">
        <v>78</v>
      </c>
      <c r="Z37" s="4" t="s">
        <v>42</v>
      </c>
      <c r="AA37" s="4" t="s">
        <v>79</v>
      </c>
    </row>
    <row r="38" spans="1:27" x14ac:dyDescent="0.25">
      <c r="A38">
        <v>0</v>
      </c>
      <c r="B38">
        <v>0.185</v>
      </c>
      <c r="C38">
        <v>37</v>
      </c>
      <c r="D38">
        <v>-0.54330000000000001</v>
      </c>
      <c r="E38">
        <v>0</v>
      </c>
      <c r="F38">
        <v>0.15822844999999999</v>
      </c>
      <c r="G38">
        <v>0.54329952000000004</v>
      </c>
      <c r="H38">
        <v>1</v>
      </c>
      <c r="I38">
        <v>0</v>
      </c>
      <c r="J38">
        <v>3.1415999999999999</v>
      </c>
      <c r="K38">
        <v>0</v>
      </c>
      <c r="L38">
        <v>0</v>
      </c>
      <c r="M38">
        <v>0</v>
      </c>
      <c r="N38">
        <v>0</v>
      </c>
      <c r="O38">
        <v>0.45670048000000002</v>
      </c>
      <c r="P38">
        <v>-3.1068080000000001E-2</v>
      </c>
      <c r="Q38">
        <v>3.1068080000000001E-2</v>
      </c>
      <c r="R38">
        <v>1.86162E-3</v>
      </c>
      <c r="S38">
        <v>2</v>
      </c>
      <c r="T38">
        <v>0</v>
      </c>
      <c r="U38">
        <v>2</v>
      </c>
      <c r="V38">
        <v>-6.2136169999999998E-2</v>
      </c>
      <c r="W38">
        <v>0</v>
      </c>
      <c r="X38">
        <v>0</v>
      </c>
      <c r="Y38" s="4" t="s">
        <v>80</v>
      </c>
      <c r="Z38" s="4" t="s">
        <v>42</v>
      </c>
      <c r="AA38" s="4" t="s">
        <v>81</v>
      </c>
    </row>
    <row r="39" spans="1:27" x14ac:dyDescent="0.25">
      <c r="A39">
        <v>0</v>
      </c>
      <c r="B39">
        <v>0.19</v>
      </c>
      <c r="C39">
        <v>38</v>
      </c>
      <c r="D39">
        <v>-0.60540000000000005</v>
      </c>
      <c r="E39">
        <v>0</v>
      </c>
      <c r="F39">
        <v>0.14785445</v>
      </c>
      <c r="G39">
        <v>0.60543568999999997</v>
      </c>
      <c r="H39">
        <v>1</v>
      </c>
      <c r="I39">
        <v>0</v>
      </c>
      <c r="J39">
        <v>3.1415999999999999</v>
      </c>
      <c r="K39">
        <v>0</v>
      </c>
      <c r="L39">
        <v>0</v>
      </c>
      <c r="M39">
        <v>0</v>
      </c>
      <c r="N39">
        <v>0</v>
      </c>
      <c r="O39">
        <v>0.39456430999999997</v>
      </c>
      <c r="P39">
        <v>-2.9031149999999999E-2</v>
      </c>
      <c r="Q39">
        <v>2.9031149999999999E-2</v>
      </c>
      <c r="R39">
        <v>2.0369300000000002E-3</v>
      </c>
      <c r="S39">
        <v>2</v>
      </c>
      <c r="T39">
        <v>0</v>
      </c>
      <c r="U39">
        <v>2</v>
      </c>
      <c r="V39">
        <v>-5.8062309999999999E-2</v>
      </c>
      <c r="W39">
        <v>0</v>
      </c>
      <c r="X39">
        <v>0</v>
      </c>
      <c r="Y39" s="4" t="s">
        <v>82</v>
      </c>
      <c r="Z39" s="4" t="s">
        <v>42</v>
      </c>
      <c r="AA39" s="4" t="s">
        <v>83</v>
      </c>
    </row>
    <row r="40" spans="1:27" x14ac:dyDescent="0.25">
      <c r="A40">
        <v>0</v>
      </c>
      <c r="B40">
        <v>0.19500000000000001</v>
      </c>
      <c r="C40">
        <v>39</v>
      </c>
      <c r="D40">
        <v>-0.66349999999999998</v>
      </c>
      <c r="E40">
        <v>0</v>
      </c>
      <c r="F40">
        <v>0.13672591000000001</v>
      </c>
      <c r="G40">
        <v>0.66349800000000003</v>
      </c>
      <c r="H40">
        <v>1</v>
      </c>
      <c r="I40">
        <v>0</v>
      </c>
      <c r="J40">
        <v>3.1415999999999999</v>
      </c>
      <c r="K40">
        <v>0</v>
      </c>
      <c r="L40">
        <v>0</v>
      </c>
      <c r="M40">
        <v>0</v>
      </c>
      <c r="N40">
        <v>0</v>
      </c>
      <c r="O40">
        <v>0.33650200000000002</v>
      </c>
      <c r="P40">
        <v>-2.684607E-2</v>
      </c>
      <c r="Q40">
        <v>2.684607E-2</v>
      </c>
      <c r="R40">
        <v>2.1850799999999998E-3</v>
      </c>
      <c r="S40">
        <v>2</v>
      </c>
      <c r="T40">
        <v>0</v>
      </c>
      <c r="U40">
        <v>2</v>
      </c>
      <c r="V40">
        <v>-5.3692139999999999E-2</v>
      </c>
      <c r="W40">
        <v>0</v>
      </c>
      <c r="X40">
        <v>0</v>
      </c>
      <c r="Y40" s="4" t="s">
        <v>84</v>
      </c>
      <c r="Z40" s="4" t="s">
        <v>42</v>
      </c>
      <c r="AA40" s="4" t="s">
        <v>85</v>
      </c>
    </row>
    <row r="41" spans="1:27" x14ac:dyDescent="0.25">
      <c r="A41">
        <v>0</v>
      </c>
      <c r="B41">
        <v>0.2</v>
      </c>
      <c r="C41">
        <v>40</v>
      </c>
      <c r="D41">
        <v>-0.71719999999999995</v>
      </c>
      <c r="E41">
        <v>0</v>
      </c>
      <c r="F41">
        <v>0.12499122</v>
      </c>
      <c r="G41">
        <v>0.71719012999999998</v>
      </c>
      <c r="H41">
        <v>1</v>
      </c>
      <c r="I41">
        <v>0</v>
      </c>
      <c r="J41">
        <v>3.1415999999999999</v>
      </c>
      <c r="K41">
        <v>0</v>
      </c>
      <c r="L41">
        <v>0</v>
      </c>
      <c r="M41">
        <v>0</v>
      </c>
      <c r="N41">
        <v>0</v>
      </c>
      <c r="O41">
        <v>0.28280987000000002</v>
      </c>
      <c r="P41">
        <v>-2.454197E-2</v>
      </c>
      <c r="Q41">
        <v>2.454197E-2</v>
      </c>
      <c r="R41">
        <v>2.3040999999999999E-3</v>
      </c>
      <c r="S41">
        <v>2</v>
      </c>
      <c r="T41">
        <v>0</v>
      </c>
      <c r="U41">
        <v>2</v>
      </c>
      <c r="V41">
        <v>-4.908394E-2</v>
      </c>
      <c r="W41">
        <v>0</v>
      </c>
      <c r="X41">
        <v>0</v>
      </c>
      <c r="Y41" s="4" t="s">
        <v>86</v>
      </c>
      <c r="Z41" s="4" t="s">
        <v>42</v>
      </c>
      <c r="AA41" s="4" t="s">
        <v>87</v>
      </c>
    </row>
    <row r="42" spans="1:27" x14ac:dyDescent="0.25">
      <c r="A42">
        <v>0</v>
      </c>
      <c r="B42">
        <v>0.20499999999999999</v>
      </c>
      <c r="C42">
        <v>41</v>
      </c>
      <c r="D42">
        <v>-0.76629999999999998</v>
      </c>
      <c r="E42">
        <v>0</v>
      </c>
      <c r="F42">
        <v>0.11280707</v>
      </c>
      <c r="G42">
        <v>0.76627407000000003</v>
      </c>
      <c r="H42">
        <v>1</v>
      </c>
      <c r="I42">
        <v>0</v>
      </c>
      <c r="J42">
        <v>3.1415999999999999</v>
      </c>
      <c r="K42">
        <v>0</v>
      </c>
      <c r="L42">
        <v>0</v>
      </c>
      <c r="M42">
        <v>0</v>
      </c>
      <c r="N42">
        <v>0</v>
      </c>
      <c r="O42">
        <v>0.23372593</v>
      </c>
      <c r="P42">
        <v>-2.2149619999999998E-2</v>
      </c>
      <c r="Q42">
        <v>2.2149619999999998E-2</v>
      </c>
      <c r="R42">
        <v>2.3923500000000001E-3</v>
      </c>
      <c r="S42">
        <v>2</v>
      </c>
      <c r="T42">
        <v>0</v>
      </c>
      <c r="U42">
        <v>2</v>
      </c>
      <c r="V42">
        <v>-4.4299230000000002E-2</v>
      </c>
      <c r="W42">
        <v>0</v>
      </c>
      <c r="X42">
        <v>0</v>
      </c>
      <c r="Y42" s="4" t="s">
        <v>88</v>
      </c>
      <c r="Z42" s="4" t="s">
        <v>42</v>
      </c>
      <c r="AA42" s="4" t="s">
        <v>89</v>
      </c>
    </row>
    <row r="43" spans="1:27" x14ac:dyDescent="0.25">
      <c r="A43">
        <v>0</v>
      </c>
      <c r="B43">
        <v>0.21</v>
      </c>
      <c r="C43">
        <v>42</v>
      </c>
      <c r="D43">
        <v>-0.81059999999999999</v>
      </c>
      <c r="E43">
        <v>0</v>
      </c>
      <c r="F43">
        <v>0.10033673999999999</v>
      </c>
      <c r="G43">
        <v>0.81057330999999999</v>
      </c>
      <c r="H43">
        <v>1</v>
      </c>
      <c r="I43">
        <v>0</v>
      </c>
      <c r="J43">
        <v>3.1415999999999999</v>
      </c>
      <c r="K43">
        <v>0</v>
      </c>
      <c r="L43">
        <v>0</v>
      </c>
      <c r="M43">
        <v>0</v>
      </c>
      <c r="N43">
        <v>0</v>
      </c>
      <c r="O43">
        <v>0.18942669000000001</v>
      </c>
      <c r="P43">
        <v>-1.9701070000000001E-2</v>
      </c>
      <c r="Q43">
        <v>1.9701070000000001E-2</v>
      </c>
      <c r="R43">
        <v>2.4485399999999999E-3</v>
      </c>
      <c r="S43">
        <v>2</v>
      </c>
      <c r="T43">
        <v>0</v>
      </c>
      <c r="U43">
        <v>2</v>
      </c>
      <c r="V43">
        <v>-3.9402140000000002E-2</v>
      </c>
      <c r="W43">
        <v>0</v>
      </c>
      <c r="X43">
        <v>0</v>
      </c>
      <c r="Y43" s="4" t="s">
        <v>90</v>
      </c>
      <c r="Z43" s="4" t="s">
        <v>42</v>
      </c>
      <c r="AA43" s="4" t="s">
        <v>91</v>
      </c>
    </row>
    <row r="44" spans="1:27" x14ac:dyDescent="0.25">
      <c r="A44">
        <v>0</v>
      </c>
      <c r="B44">
        <v>0.215</v>
      </c>
      <c r="C44">
        <v>43</v>
      </c>
      <c r="D44">
        <v>-0.85</v>
      </c>
      <c r="E44">
        <v>0</v>
      </c>
      <c r="F44">
        <v>8.7748519999999997E-2</v>
      </c>
      <c r="G44">
        <v>0.84997544999999997</v>
      </c>
      <c r="H44">
        <v>1</v>
      </c>
      <c r="I44">
        <v>0</v>
      </c>
      <c r="J44">
        <v>3.1415999999999999</v>
      </c>
      <c r="K44">
        <v>0</v>
      </c>
      <c r="L44">
        <v>0</v>
      </c>
      <c r="M44">
        <v>0</v>
      </c>
      <c r="N44">
        <v>0</v>
      </c>
      <c r="O44">
        <v>0.15002455000000001</v>
      </c>
      <c r="P44">
        <v>-1.7229379999999999E-2</v>
      </c>
      <c r="Q44">
        <v>1.7229379999999999E-2</v>
      </c>
      <c r="R44">
        <v>2.4716899999999999E-3</v>
      </c>
      <c r="S44">
        <v>2</v>
      </c>
      <c r="T44">
        <v>0</v>
      </c>
      <c r="U44">
        <v>2</v>
      </c>
      <c r="V44">
        <v>-3.4458759999999998E-2</v>
      </c>
      <c r="W44">
        <v>0</v>
      </c>
      <c r="X44">
        <v>0</v>
      </c>
      <c r="Y44" s="4" t="s">
        <v>92</v>
      </c>
      <c r="Z44" s="4" t="s">
        <v>42</v>
      </c>
      <c r="AA44" s="4" t="s">
        <v>93</v>
      </c>
    </row>
    <row r="45" spans="1:27" x14ac:dyDescent="0.25">
      <c r="A45">
        <v>0</v>
      </c>
      <c r="B45">
        <v>0.22</v>
      </c>
      <c r="C45">
        <v>44</v>
      </c>
      <c r="D45">
        <v>-0.88439999999999996</v>
      </c>
      <c r="E45">
        <v>0</v>
      </c>
      <c r="F45">
        <v>7.5214539999999996E-2</v>
      </c>
      <c r="G45">
        <v>0.88443421</v>
      </c>
      <c r="H45">
        <v>1</v>
      </c>
      <c r="I45">
        <v>0</v>
      </c>
      <c r="J45">
        <v>3.1415999999999999</v>
      </c>
      <c r="K45">
        <v>0</v>
      </c>
      <c r="L45">
        <v>0</v>
      </c>
      <c r="M45">
        <v>0</v>
      </c>
      <c r="N45">
        <v>0</v>
      </c>
      <c r="O45">
        <v>0.11556579</v>
      </c>
      <c r="P45">
        <v>-1.476834E-2</v>
      </c>
      <c r="Q45">
        <v>1.476834E-2</v>
      </c>
      <c r="R45">
        <v>2.4610399999999998E-3</v>
      </c>
      <c r="S45">
        <v>2</v>
      </c>
      <c r="T45">
        <v>0</v>
      </c>
      <c r="U45">
        <v>2</v>
      </c>
      <c r="V45">
        <v>-2.9536679999999999E-2</v>
      </c>
      <c r="W45">
        <v>0</v>
      </c>
      <c r="X45">
        <v>0</v>
      </c>
      <c r="Y45" s="4" t="s">
        <v>94</v>
      </c>
      <c r="Z45" s="4" t="s">
        <v>42</v>
      </c>
      <c r="AA45" s="4" t="s">
        <v>95</v>
      </c>
    </row>
    <row r="46" spans="1:27" x14ac:dyDescent="0.25">
      <c r="A46">
        <v>0</v>
      </c>
      <c r="B46">
        <v>0.22500000000000001</v>
      </c>
      <c r="C46">
        <v>45</v>
      </c>
      <c r="D46">
        <v>-0.91400000000000003</v>
      </c>
      <c r="E46">
        <v>0</v>
      </c>
      <c r="F46">
        <v>6.291012E-2</v>
      </c>
      <c r="G46">
        <v>0.91397090000000003</v>
      </c>
      <c r="H46">
        <v>1</v>
      </c>
      <c r="I46">
        <v>0</v>
      </c>
      <c r="J46">
        <v>3.1415999999999999</v>
      </c>
      <c r="K46">
        <v>0</v>
      </c>
      <c r="L46">
        <v>0</v>
      </c>
      <c r="M46">
        <v>0</v>
      </c>
      <c r="N46">
        <v>0</v>
      </c>
      <c r="O46">
        <v>8.6029099999999997E-2</v>
      </c>
      <c r="P46">
        <v>-1.235237E-2</v>
      </c>
      <c r="Q46">
        <v>1.235237E-2</v>
      </c>
      <c r="R46">
        <v>2.4159699999999999E-3</v>
      </c>
      <c r="S46">
        <v>2</v>
      </c>
      <c r="T46">
        <v>0</v>
      </c>
      <c r="U46">
        <v>2</v>
      </c>
      <c r="V46">
        <v>-2.4704750000000001E-2</v>
      </c>
      <c r="W46">
        <v>0</v>
      </c>
      <c r="X46">
        <v>0</v>
      </c>
      <c r="Y46" s="4" t="s">
        <v>96</v>
      </c>
      <c r="Z46" s="4" t="s">
        <v>42</v>
      </c>
      <c r="AA46" s="4" t="s">
        <v>97</v>
      </c>
    </row>
    <row r="47" spans="1:27" x14ac:dyDescent="0.25">
      <c r="A47">
        <v>0</v>
      </c>
      <c r="B47">
        <v>0.23</v>
      </c>
      <c r="C47">
        <v>46</v>
      </c>
      <c r="D47">
        <v>-0.93869999999999998</v>
      </c>
      <c r="E47">
        <v>0</v>
      </c>
      <c r="F47">
        <v>5.1013969999999999E-2</v>
      </c>
      <c r="G47">
        <v>0.93867564000000003</v>
      </c>
      <c r="H47">
        <v>1</v>
      </c>
      <c r="I47">
        <v>0</v>
      </c>
      <c r="J47">
        <v>3.1415999999999999</v>
      </c>
      <c r="K47">
        <v>0</v>
      </c>
      <c r="L47">
        <v>0</v>
      </c>
      <c r="M47">
        <v>0</v>
      </c>
      <c r="N47">
        <v>0</v>
      </c>
      <c r="O47">
        <v>6.1324360000000001E-2</v>
      </c>
      <c r="P47">
        <v>-1.0016570000000001E-2</v>
      </c>
      <c r="Q47">
        <v>1.0016570000000001E-2</v>
      </c>
      <c r="R47">
        <v>2.3357999999999999E-3</v>
      </c>
      <c r="S47">
        <v>2</v>
      </c>
      <c r="T47">
        <v>0</v>
      </c>
      <c r="U47">
        <v>2</v>
      </c>
      <c r="V47">
        <v>-2.0033140000000001E-2</v>
      </c>
      <c r="W47">
        <v>0</v>
      </c>
      <c r="X47">
        <v>0</v>
      </c>
      <c r="Y47" s="4" t="s">
        <v>98</v>
      </c>
      <c r="Z47" s="4" t="s">
        <v>42</v>
      </c>
      <c r="AA47" s="4" t="s">
        <v>99</v>
      </c>
    </row>
    <row r="48" spans="1:27" x14ac:dyDescent="0.25">
      <c r="A48">
        <v>0</v>
      </c>
      <c r="B48">
        <v>0.23499999999999999</v>
      </c>
      <c r="C48">
        <v>47</v>
      </c>
      <c r="D48">
        <v>-0.9587</v>
      </c>
      <c r="E48">
        <v>0</v>
      </c>
      <c r="F48">
        <v>3.9710059999999998E-2</v>
      </c>
      <c r="G48">
        <v>0.95870878000000004</v>
      </c>
      <c r="H48">
        <v>1</v>
      </c>
      <c r="I48">
        <v>0</v>
      </c>
      <c r="J48">
        <v>3.1415999999999999</v>
      </c>
      <c r="K48">
        <v>0</v>
      </c>
      <c r="L48">
        <v>0</v>
      </c>
      <c r="M48">
        <v>0</v>
      </c>
      <c r="N48">
        <v>0</v>
      </c>
      <c r="O48">
        <v>4.1291220000000003E-2</v>
      </c>
      <c r="P48">
        <v>-7.7970499999999998E-3</v>
      </c>
      <c r="Q48">
        <v>7.7970499999999998E-3</v>
      </c>
      <c r="R48">
        <v>2.21952E-3</v>
      </c>
      <c r="S48">
        <v>2</v>
      </c>
      <c r="T48">
        <v>0</v>
      </c>
      <c r="U48">
        <v>2</v>
      </c>
      <c r="V48">
        <v>-1.55941E-2</v>
      </c>
      <c r="W48">
        <v>0</v>
      </c>
      <c r="X48">
        <v>0</v>
      </c>
      <c r="Y48" s="4" t="s">
        <v>100</v>
      </c>
      <c r="Z48" s="4" t="s">
        <v>42</v>
      </c>
      <c r="AA48" s="4" t="s">
        <v>101</v>
      </c>
    </row>
    <row r="49" spans="1:27" x14ac:dyDescent="0.25">
      <c r="A49">
        <v>0</v>
      </c>
      <c r="B49">
        <v>0.24</v>
      </c>
      <c r="C49">
        <v>48</v>
      </c>
      <c r="D49">
        <v>-0.97430000000000005</v>
      </c>
      <c r="E49">
        <v>0</v>
      </c>
      <c r="F49">
        <v>2.919209E-2</v>
      </c>
      <c r="G49">
        <v>0.97430289000000003</v>
      </c>
      <c r="H49">
        <v>1</v>
      </c>
      <c r="I49">
        <v>0</v>
      </c>
      <c r="J49">
        <v>3.1415999999999999</v>
      </c>
      <c r="K49">
        <v>0</v>
      </c>
      <c r="L49">
        <v>0</v>
      </c>
      <c r="M49">
        <v>0</v>
      </c>
      <c r="N49">
        <v>0</v>
      </c>
      <c r="O49">
        <v>2.5697109999999999E-2</v>
      </c>
      <c r="P49">
        <v>-5.7318500000000001E-3</v>
      </c>
      <c r="Q49">
        <v>5.7318500000000001E-3</v>
      </c>
      <c r="R49">
        <v>2.0652000000000001E-3</v>
      </c>
      <c r="S49">
        <v>2</v>
      </c>
      <c r="T49">
        <v>0</v>
      </c>
      <c r="U49">
        <v>2</v>
      </c>
      <c r="V49">
        <v>-1.146371E-2</v>
      </c>
      <c r="W49">
        <v>0</v>
      </c>
      <c r="X49">
        <v>0</v>
      </c>
      <c r="Y49" s="4" t="s">
        <v>102</v>
      </c>
      <c r="Z49" s="4" t="s">
        <v>42</v>
      </c>
      <c r="AA49" s="4" t="s">
        <v>103</v>
      </c>
    </row>
    <row r="50" spans="1:27" x14ac:dyDescent="0.25">
      <c r="A50">
        <v>0</v>
      </c>
      <c r="B50">
        <v>0.245</v>
      </c>
      <c r="C50">
        <v>49</v>
      </c>
      <c r="D50">
        <v>-0.98580000000000001</v>
      </c>
      <c r="E50">
        <v>0</v>
      </c>
      <c r="F50">
        <v>1.967352E-2</v>
      </c>
      <c r="G50">
        <v>0.98576659</v>
      </c>
      <c r="H50">
        <v>1</v>
      </c>
      <c r="I50">
        <v>0</v>
      </c>
      <c r="J50">
        <v>3.1415999999999999</v>
      </c>
      <c r="K50">
        <v>0</v>
      </c>
      <c r="L50">
        <v>0</v>
      </c>
      <c r="M50">
        <v>0</v>
      </c>
      <c r="N50">
        <v>0</v>
      </c>
      <c r="O50">
        <v>1.423341E-2</v>
      </c>
      <c r="P50">
        <v>-3.8628899999999999E-3</v>
      </c>
      <c r="Q50">
        <v>3.8628899999999999E-3</v>
      </c>
      <c r="R50">
        <v>1.86897E-3</v>
      </c>
      <c r="S50">
        <v>2</v>
      </c>
      <c r="T50">
        <v>0</v>
      </c>
      <c r="U50">
        <v>2</v>
      </c>
      <c r="V50">
        <v>-7.7257699999999999E-3</v>
      </c>
      <c r="W50">
        <v>0</v>
      </c>
      <c r="X50">
        <v>0</v>
      </c>
      <c r="Y50" s="4" t="s">
        <v>104</v>
      </c>
      <c r="Z50" s="4" t="s">
        <v>42</v>
      </c>
      <c r="AA50" s="4" t="s">
        <v>105</v>
      </c>
    </row>
    <row r="51" spans="1:27" x14ac:dyDescent="0.25">
      <c r="A51">
        <v>0</v>
      </c>
      <c r="B51">
        <v>0.25</v>
      </c>
      <c r="C51">
        <v>50</v>
      </c>
      <c r="D51">
        <v>-0.99350000000000005</v>
      </c>
      <c r="E51">
        <v>0</v>
      </c>
      <c r="F51">
        <v>1.1410119999999999E-2</v>
      </c>
      <c r="G51">
        <v>0.99349237000000001</v>
      </c>
      <c r="H51">
        <v>1</v>
      </c>
      <c r="I51">
        <v>0</v>
      </c>
      <c r="J51">
        <v>3.1415999999999999</v>
      </c>
      <c r="K51">
        <v>0</v>
      </c>
      <c r="L51">
        <v>0</v>
      </c>
      <c r="M51">
        <v>0</v>
      </c>
      <c r="N51">
        <v>0</v>
      </c>
      <c r="O51">
        <v>6.5076300000000004E-3</v>
      </c>
      <c r="P51">
        <v>-2.2403700000000002E-3</v>
      </c>
      <c r="Q51">
        <v>2.2403700000000002E-3</v>
      </c>
      <c r="R51">
        <v>1.62251E-3</v>
      </c>
      <c r="S51">
        <v>2</v>
      </c>
      <c r="T51">
        <v>0</v>
      </c>
      <c r="U51">
        <v>2</v>
      </c>
      <c r="V51">
        <v>-4.4807400000000004E-3</v>
      </c>
      <c r="W51">
        <v>0</v>
      </c>
      <c r="X51">
        <v>0</v>
      </c>
      <c r="Y51" s="4" t="s">
        <v>106</v>
      </c>
      <c r="Z51" s="4" t="s">
        <v>42</v>
      </c>
      <c r="AA51" s="4" t="s">
        <v>107</v>
      </c>
    </row>
    <row r="52" spans="1:27" x14ac:dyDescent="0.25">
      <c r="A52">
        <v>0</v>
      </c>
      <c r="B52">
        <v>0.255</v>
      </c>
      <c r="C52">
        <v>51</v>
      </c>
      <c r="D52">
        <v>-0.998</v>
      </c>
      <c r="E52">
        <v>0</v>
      </c>
      <c r="F52">
        <v>4.7602E-3</v>
      </c>
      <c r="G52">
        <v>0.99797311</v>
      </c>
      <c r="H52">
        <v>1</v>
      </c>
      <c r="I52">
        <v>0</v>
      </c>
      <c r="J52">
        <v>3.1415999999999999</v>
      </c>
      <c r="K52">
        <v>0</v>
      </c>
      <c r="L52">
        <v>0</v>
      </c>
      <c r="M52">
        <v>0</v>
      </c>
      <c r="N52">
        <v>0</v>
      </c>
      <c r="O52">
        <v>2.0268899999999999E-3</v>
      </c>
      <c r="P52">
        <v>-9.3466000000000003E-4</v>
      </c>
      <c r="Q52">
        <v>9.3466000000000003E-4</v>
      </c>
      <c r="R52">
        <v>1.3057100000000001E-3</v>
      </c>
      <c r="S52">
        <v>2</v>
      </c>
      <c r="T52">
        <v>0</v>
      </c>
      <c r="U52">
        <v>2</v>
      </c>
      <c r="V52">
        <v>-1.8693200000000001E-3</v>
      </c>
      <c r="W52">
        <v>0</v>
      </c>
      <c r="X52">
        <v>0</v>
      </c>
      <c r="Y52" s="4" t="s">
        <v>108</v>
      </c>
      <c r="Z52" s="4" t="s">
        <v>42</v>
      </c>
      <c r="AA52" s="4" t="s">
        <v>109</v>
      </c>
    </row>
    <row r="53" spans="1:27" x14ac:dyDescent="0.25">
      <c r="A53">
        <v>0</v>
      </c>
      <c r="B53">
        <v>0.26</v>
      </c>
      <c r="C53">
        <v>52</v>
      </c>
      <c r="D53">
        <v>-0.99980000000000002</v>
      </c>
      <c r="E53">
        <v>0</v>
      </c>
      <c r="F53">
        <v>4.3938000000000001E-4</v>
      </c>
      <c r="G53">
        <v>0.99984242999999995</v>
      </c>
      <c r="H53">
        <v>1</v>
      </c>
      <c r="I53">
        <v>0</v>
      </c>
      <c r="J53">
        <v>3.1415999999999999</v>
      </c>
      <c r="K53">
        <v>0</v>
      </c>
      <c r="L53">
        <v>0</v>
      </c>
      <c r="M53">
        <v>0</v>
      </c>
      <c r="N53">
        <v>0</v>
      </c>
      <c r="O53">
        <v>1.5757E-4</v>
      </c>
      <c r="P53">
        <v>-8.6269999999999999E-5</v>
      </c>
      <c r="Q53">
        <v>8.6269999999999999E-5</v>
      </c>
      <c r="R53">
        <v>8.4838999999999997E-4</v>
      </c>
      <c r="S53">
        <v>2</v>
      </c>
      <c r="T53">
        <v>0</v>
      </c>
      <c r="U53">
        <v>2</v>
      </c>
      <c r="V53">
        <v>-1.7254E-4</v>
      </c>
      <c r="W53">
        <v>0</v>
      </c>
      <c r="X53">
        <v>0</v>
      </c>
      <c r="Y53" s="4" t="s">
        <v>110</v>
      </c>
      <c r="Z53" s="4" t="s">
        <v>42</v>
      </c>
      <c r="AA53" s="4" t="s">
        <v>111</v>
      </c>
    </row>
    <row r="54" spans="1:27" x14ac:dyDescent="0.25">
      <c r="A54">
        <v>0</v>
      </c>
      <c r="B54">
        <v>0.26500000000000001</v>
      </c>
      <c r="C54">
        <v>53</v>
      </c>
      <c r="D54">
        <v>-1</v>
      </c>
      <c r="E54">
        <v>0</v>
      </c>
      <c r="F54">
        <v>0</v>
      </c>
      <c r="G54">
        <v>1.00001498</v>
      </c>
      <c r="H54">
        <v>1</v>
      </c>
      <c r="I54">
        <v>0</v>
      </c>
      <c r="J54">
        <v>3.1415999999999999</v>
      </c>
      <c r="K54">
        <v>0</v>
      </c>
      <c r="L54">
        <v>0</v>
      </c>
      <c r="M54">
        <v>0</v>
      </c>
      <c r="N54">
        <v>0</v>
      </c>
      <c r="O54">
        <v>-1.4980000000000001E-5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 s="4" t="s">
        <v>42</v>
      </c>
      <c r="Z54" s="4" t="s">
        <v>42</v>
      </c>
      <c r="AA54" s="4" t="s">
        <v>42</v>
      </c>
    </row>
    <row r="55" spans="1:27" x14ac:dyDescent="0.25">
      <c r="A55">
        <v>0</v>
      </c>
      <c r="B55">
        <v>0.27</v>
      </c>
      <c r="C55">
        <v>54</v>
      </c>
      <c r="D55">
        <v>-1</v>
      </c>
      <c r="E55">
        <v>0</v>
      </c>
      <c r="F55">
        <v>0</v>
      </c>
      <c r="G55">
        <v>1.00001498</v>
      </c>
      <c r="H55">
        <v>1</v>
      </c>
      <c r="I55">
        <v>0</v>
      </c>
      <c r="J55">
        <v>3.1415999999999999</v>
      </c>
      <c r="K55">
        <v>0</v>
      </c>
      <c r="L55">
        <v>0</v>
      </c>
      <c r="M55">
        <v>0</v>
      </c>
      <c r="N55">
        <v>0</v>
      </c>
      <c r="O55">
        <v>-1.4980000000000001E-5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 s="4" t="s">
        <v>42</v>
      </c>
      <c r="Z55" s="4" t="s">
        <v>42</v>
      </c>
      <c r="AA55" s="4" t="s">
        <v>42</v>
      </c>
    </row>
    <row r="56" spans="1:27" x14ac:dyDescent="0.25">
      <c r="A56">
        <v>0</v>
      </c>
      <c r="B56">
        <v>0.27500000000000002</v>
      </c>
      <c r="C56">
        <v>55</v>
      </c>
      <c r="D56">
        <v>-1</v>
      </c>
      <c r="E56">
        <v>0</v>
      </c>
      <c r="F56">
        <v>0</v>
      </c>
      <c r="G56">
        <v>1.00001498</v>
      </c>
      <c r="H56">
        <v>1</v>
      </c>
      <c r="I56">
        <v>0</v>
      </c>
      <c r="J56">
        <v>3.1415999999999999</v>
      </c>
      <c r="K56">
        <v>0</v>
      </c>
      <c r="L56">
        <v>0</v>
      </c>
      <c r="M56">
        <v>0</v>
      </c>
      <c r="N56">
        <v>0</v>
      </c>
      <c r="O56">
        <v>-1.4980000000000001E-5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 s="4" t="s">
        <v>42</v>
      </c>
      <c r="Z56" s="4" t="s">
        <v>42</v>
      </c>
      <c r="AA56" s="4" t="s">
        <v>42</v>
      </c>
    </row>
    <row r="57" spans="1:27" x14ac:dyDescent="0.25">
      <c r="A57">
        <v>0</v>
      </c>
      <c r="B57">
        <v>0.28000000000000003</v>
      </c>
      <c r="C57">
        <v>56</v>
      </c>
      <c r="D57">
        <v>-1</v>
      </c>
      <c r="E57">
        <v>0</v>
      </c>
      <c r="F57">
        <v>0</v>
      </c>
      <c r="G57">
        <v>1.00001498</v>
      </c>
      <c r="H57">
        <v>1</v>
      </c>
      <c r="I57">
        <v>0</v>
      </c>
      <c r="J57">
        <v>3.1415999999999999</v>
      </c>
      <c r="K57">
        <v>0</v>
      </c>
      <c r="L57">
        <v>0</v>
      </c>
      <c r="M57">
        <v>0</v>
      </c>
      <c r="N57">
        <v>0</v>
      </c>
      <c r="O57">
        <v>-1.4980000000000001E-5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 s="4" t="s">
        <v>42</v>
      </c>
      <c r="Z57" s="4" t="s">
        <v>42</v>
      </c>
      <c r="AA57" s="4" t="s">
        <v>42</v>
      </c>
    </row>
    <row r="58" spans="1:27" x14ac:dyDescent="0.25">
      <c r="A58">
        <v>0</v>
      </c>
      <c r="B58">
        <v>0.28499999999999998</v>
      </c>
      <c r="C58">
        <v>57</v>
      </c>
      <c r="D58">
        <v>-1</v>
      </c>
      <c r="E58">
        <v>0</v>
      </c>
      <c r="F58">
        <v>0</v>
      </c>
      <c r="G58">
        <v>1.00001498</v>
      </c>
      <c r="H58">
        <v>1</v>
      </c>
      <c r="I58">
        <v>0</v>
      </c>
      <c r="J58">
        <v>3.1415999999999999</v>
      </c>
      <c r="K58">
        <v>0</v>
      </c>
      <c r="L58">
        <v>0</v>
      </c>
      <c r="M58">
        <v>0</v>
      </c>
      <c r="N58">
        <v>0</v>
      </c>
      <c r="O58">
        <v>-1.4980000000000001E-5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 s="4" t="s">
        <v>42</v>
      </c>
      <c r="Z58" s="4" t="s">
        <v>42</v>
      </c>
      <c r="AA58" s="4" t="s">
        <v>42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D747C7-9C49-423E-988F-1262013428E9}">
  <dimension ref="A1:AA58"/>
  <sheetViews>
    <sheetView workbookViewId="0">
      <selection sqref="A1:X60"/>
    </sheetView>
  </sheetViews>
  <sheetFormatPr defaultRowHeight="15" x14ac:dyDescent="0.25"/>
  <cols>
    <col min="1" max="1" width="4.42578125" bestFit="1" customWidth="1"/>
    <col min="2" max="2" width="6" bestFit="1" customWidth="1"/>
    <col min="3" max="3" width="6.42578125" bestFit="1" customWidth="1"/>
    <col min="4" max="4" width="7.7109375" bestFit="1" customWidth="1"/>
    <col min="5" max="5" width="5.28515625" bestFit="1" customWidth="1"/>
    <col min="6" max="6" width="12.85546875" bestFit="1" customWidth="1"/>
    <col min="7" max="7" width="11" bestFit="1" customWidth="1"/>
    <col min="8" max="8" width="13.140625" bestFit="1" customWidth="1"/>
    <col min="9" max="9" width="8.42578125" bestFit="1" customWidth="1"/>
    <col min="10" max="10" width="8.28515625" bestFit="1" customWidth="1"/>
    <col min="11" max="11" width="10.28515625" bestFit="1" customWidth="1"/>
    <col min="12" max="12" width="10.42578125" bestFit="1" customWidth="1"/>
    <col min="13" max="14" width="9.42578125" bestFit="1" customWidth="1"/>
    <col min="15" max="15" width="11.28515625" bestFit="1" customWidth="1"/>
    <col min="16" max="16" width="11.7109375" bestFit="1" customWidth="1"/>
    <col min="17" max="17" width="11" bestFit="1" customWidth="1"/>
    <col min="18" max="18" width="11.7109375" bestFit="1" customWidth="1"/>
    <col min="19" max="20" width="8.5703125" bestFit="1" customWidth="1"/>
    <col min="21" max="21" width="7.5703125" bestFit="1" customWidth="1"/>
    <col min="22" max="23" width="11.7109375" bestFit="1" customWidth="1"/>
    <col min="24" max="24" width="14.42578125" customWidth="1"/>
    <col min="25" max="26" width="11.7109375" bestFit="1" customWidth="1"/>
    <col min="27" max="27" width="10.5703125" bestFit="1" customWidth="1"/>
  </cols>
  <sheetData>
    <row r="1" spans="1:27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27</v>
      </c>
      <c r="J1" t="s">
        <v>18</v>
      </c>
      <c r="K1" t="s">
        <v>34</v>
      </c>
      <c r="L1" t="s">
        <v>35</v>
      </c>
      <c r="M1" t="s">
        <v>9</v>
      </c>
      <c r="N1" t="s">
        <v>10</v>
      </c>
      <c r="O1" t="s">
        <v>8</v>
      </c>
      <c r="P1" t="s">
        <v>33</v>
      </c>
      <c r="Q1" t="s">
        <v>11</v>
      </c>
      <c r="R1" t="s">
        <v>12</v>
      </c>
      <c r="S1" t="s">
        <v>13</v>
      </c>
      <c r="T1" t="s">
        <v>14</v>
      </c>
      <c r="U1" t="s">
        <v>15</v>
      </c>
      <c r="V1" t="s">
        <v>16</v>
      </c>
      <c r="W1" t="s">
        <v>17</v>
      </c>
      <c r="X1" t="s">
        <v>26</v>
      </c>
      <c r="Y1" t="s">
        <v>39</v>
      </c>
      <c r="Z1" t="s">
        <v>40</v>
      </c>
      <c r="AA1" t="s">
        <v>41</v>
      </c>
    </row>
    <row r="2" spans="1:27" x14ac:dyDescent="0.25">
      <c r="A2">
        <v>1</v>
      </c>
      <c r="B2">
        <v>5.0000000000000001E-3</v>
      </c>
      <c r="C2">
        <v>1</v>
      </c>
      <c r="D2">
        <v>-1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 s="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 s="4" t="s">
        <v>42</v>
      </c>
      <c r="Z2" s="4" t="s">
        <v>42</v>
      </c>
      <c r="AA2" s="4" t="s">
        <v>42</v>
      </c>
    </row>
    <row r="3" spans="1:27" x14ac:dyDescent="0.25">
      <c r="A3">
        <v>1</v>
      </c>
      <c r="B3">
        <v>0.01</v>
      </c>
      <c r="C3">
        <v>2</v>
      </c>
      <c r="D3">
        <v>-1</v>
      </c>
      <c r="E3">
        <v>0</v>
      </c>
      <c r="F3">
        <v>0</v>
      </c>
      <c r="G3">
        <v>1</v>
      </c>
      <c r="H3">
        <v>0</v>
      </c>
      <c r="I3">
        <v>0</v>
      </c>
      <c r="J3">
        <v>3.1415999999999999</v>
      </c>
      <c r="K3">
        <v>0</v>
      </c>
      <c r="L3">
        <v>0</v>
      </c>
      <c r="M3">
        <v>0</v>
      </c>
      <c r="N3">
        <v>0</v>
      </c>
      <c r="O3" s="2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 s="4" t="s">
        <v>42</v>
      </c>
      <c r="Z3" s="4" t="s">
        <v>42</v>
      </c>
      <c r="AA3" s="4" t="s">
        <v>42</v>
      </c>
    </row>
    <row r="4" spans="1:27" x14ac:dyDescent="0.25">
      <c r="A4">
        <v>1</v>
      </c>
      <c r="B4">
        <v>1.4999999999999999E-2</v>
      </c>
      <c r="C4">
        <v>3</v>
      </c>
      <c r="D4">
        <v>-1</v>
      </c>
      <c r="E4">
        <v>0</v>
      </c>
      <c r="F4">
        <v>0</v>
      </c>
      <c r="G4">
        <v>1</v>
      </c>
      <c r="H4">
        <v>0</v>
      </c>
      <c r="I4">
        <v>0</v>
      </c>
      <c r="J4">
        <v>3.1415999999999999</v>
      </c>
      <c r="K4">
        <v>0</v>
      </c>
      <c r="L4">
        <v>0</v>
      </c>
      <c r="M4">
        <v>0</v>
      </c>
      <c r="N4">
        <v>0</v>
      </c>
      <c r="O4" s="2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 s="4" t="s">
        <v>42</v>
      </c>
      <c r="Z4" s="4" t="s">
        <v>42</v>
      </c>
      <c r="AA4" s="4" t="s">
        <v>42</v>
      </c>
    </row>
    <row r="5" spans="1:27" x14ac:dyDescent="0.25">
      <c r="A5">
        <v>1</v>
      </c>
      <c r="B5">
        <v>0.02</v>
      </c>
      <c r="C5">
        <v>4</v>
      </c>
      <c r="D5">
        <v>-1</v>
      </c>
      <c r="E5">
        <v>0</v>
      </c>
      <c r="F5">
        <v>0</v>
      </c>
      <c r="G5">
        <v>1</v>
      </c>
      <c r="H5">
        <v>0</v>
      </c>
      <c r="I5">
        <v>0</v>
      </c>
      <c r="J5">
        <v>3.1415999999999999</v>
      </c>
      <c r="K5">
        <v>0</v>
      </c>
      <c r="L5">
        <v>0</v>
      </c>
      <c r="M5">
        <v>0</v>
      </c>
      <c r="N5">
        <v>0</v>
      </c>
      <c r="O5" s="2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 s="4" t="s">
        <v>42</v>
      </c>
      <c r="Z5" s="4" t="s">
        <v>42</v>
      </c>
      <c r="AA5" s="4" t="s">
        <v>42</v>
      </c>
    </row>
    <row r="6" spans="1:27" x14ac:dyDescent="0.25">
      <c r="A6">
        <v>1</v>
      </c>
      <c r="B6">
        <v>2.5000000000000001E-2</v>
      </c>
      <c r="C6">
        <v>5</v>
      </c>
      <c r="D6">
        <v>-1</v>
      </c>
      <c r="E6">
        <v>0</v>
      </c>
      <c r="F6">
        <v>0</v>
      </c>
      <c r="G6">
        <v>1</v>
      </c>
      <c r="H6">
        <v>0</v>
      </c>
      <c r="I6">
        <v>0</v>
      </c>
      <c r="J6">
        <v>3.1415999999999999</v>
      </c>
      <c r="K6">
        <v>0</v>
      </c>
      <c r="L6">
        <v>0</v>
      </c>
      <c r="M6">
        <v>0</v>
      </c>
      <c r="N6">
        <v>0</v>
      </c>
      <c r="O6" s="2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 s="4" t="s">
        <v>42</v>
      </c>
      <c r="Z6" s="4" t="s">
        <v>42</v>
      </c>
      <c r="AA6" s="4" t="s">
        <v>42</v>
      </c>
    </row>
    <row r="7" spans="1:27" x14ac:dyDescent="0.25">
      <c r="A7">
        <v>1</v>
      </c>
      <c r="B7">
        <v>0.03</v>
      </c>
      <c r="C7">
        <v>6</v>
      </c>
      <c r="D7">
        <v>-1</v>
      </c>
      <c r="E7">
        <v>0</v>
      </c>
      <c r="F7">
        <v>0</v>
      </c>
      <c r="G7">
        <v>1</v>
      </c>
      <c r="H7">
        <v>0</v>
      </c>
      <c r="I7">
        <v>0</v>
      </c>
      <c r="J7">
        <v>3.1415999999999999</v>
      </c>
      <c r="K7">
        <v>0</v>
      </c>
      <c r="L7">
        <v>0</v>
      </c>
      <c r="M7">
        <v>0</v>
      </c>
      <c r="N7">
        <v>0</v>
      </c>
      <c r="O7" s="2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 s="4" t="s">
        <v>42</v>
      </c>
      <c r="Z7" s="4" t="s">
        <v>42</v>
      </c>
      <c r="AA7" s="4" t="s">
        <v>42</v>
      </c>
    </row>
    <row r="8" spans="1:27" x14ac:dyDescent="0.25">
      <c r="A8">
        <v>1</v>
      </c>
      <c r="B8">
        <v>3.5000000000000003E-2</v>
      </c>
      <c r="C8">
        <v>7</v>
      </c>
      <c r="D8">
        <v>-1</v>
      </c>
      <c r="E8">
        <v>0</v>
      </c>
      <c r="F8">
        <v>3.3850999999999998E-3</v>
      </c>
      <c r="G8">
        <v>1</v>
      </c>
      <c r="H8">
        <v>1</v>
      </c>
      <c r="I8">
        <v>0</v>
      </c>
      <c r="J8">
        <v>3.1415999999999999</v>
      </c>
      <c r="K8">
        <v>0</v>
      </c>
      <c r="L8">
        <v>0</v>
      </c>
      <c r="M8">
        <v>0</v>
      </c>
      <c r="N8">
        <v>0</v>
      </c>
      <c r="O8" s="2">
        <v>0</v>
      </c>
      <c r="P8">
        <v>-6.6465999999999997E-4</v>
      </c>
      <c r="Q8">
        <v>6.6465999999999997E-4</v>
      </c>
      <c r="R8">
        <v>-6.6465999999999997E-4</v>
      </c>
      <c r="S8">
        <v>-2</v>
      </c>
      <c r="T8">
        <v>0</v>
      </c>
      <c r="U8">
        <v>2</v>
      </c>
      <c r="V8">
        <v>1.3293300000000001E-3</v>
      </c>
      <c r="W8">
        <v>0</v>
      </c>
      <c r="X8">
        <v>0</v>
      </c>
      <c r="Y8" s="4" t="s">
        <v>112</v>
      </c>
      <c r="Z8" s="4" t="s">
        <v>42</v>
      </c>
      <c r="AA8" s="4" t="s">
        <v>42</v>
      </c>
    </row>
    <row r="9" spans="1:27" x14ac:dyDescent="0.25">
      <c r="A9">
        <v>1</v>
      </c>
      <c r="B9">
        <v>0.04</v>
      </c>
      <c r="C9">
        <v>8</v>
      </c>
      <c r="D9">
        <v>-0.99870000000000003</v>
      </c>
      <c r="E9">
        <v>0</v>
      </c>
      <c r="F9">
        <v>9.5360700000000007E-3</v>
      </c>
      <c r="G9">
        <v>0.99867066999999998</v>
      </c>
      <c r="H9">
        <v>1</v>
      </c>
      <c r="I9">
        <v>0</v>
      </c>
      <c r="J9">
        <v>3.1415999999999999</v>
      </c>
      <c r="K9">
        <v>0</v>
      </c>
      <c r="L9">
        <v>0</v>
      </c>
      <c r="M9">
        <v>0</v>
      </c>
      <c r="N9">
        <v>0</v>
      </c>
      <c r="O9" s="2">
        <v>1.3293300000000001E-3</v>
      </c>
      <c r="P9">
        <v>-1.8724E-3</v>
      </c>
      <c r="Q9">
        <v>1.8724E-3</v>
      </c>
      <c r="R9">
        <v>-1.2077399999999999E-3</v>
      </c>
      <c r="S9">
        <v>-2</v>
      </c>
      <c r="T9">
        <v>0</v>
      </c>
      <c r="U9">
        <v>2</v>
      </c>
      <c r="V9">
        <v>3.7448099999999999E-3</v>
      </c>
      <c r="W9">
        <v>0</v>
      </c>
      <c r="X9">
        <v>0</v>
      </c>
      <c r="Y9" s="4" t="s">
        <v>113</v>
      </c>
      <c r="Z9" s="4" t="s">
        <v>114</v>
      </c>
      <c r="AA9" s="4" t="s">
        <v>44</v>
      </c>
    </row>
    <row r="10" spans="1:27" x14ac:dyDescent="0.25">
      <c r="A10">
        <v>1</v>
      </c>
      <c r="B10">
        <v>4.4999999999999998E-2</v>
      </c>
      <c r="C10">
        <v>9</v>
      </c>
      <c r="D10">
        <v>-0.99490000000000001</v>
      </c>
      <c r="E10">
        <v>0</v>
      </c>
      <c r="F10">
        <v>1.742728E-2</v>
      </c>
      <c r="G10">
        <v>0.99492586999999999</v>
      </c>
      <c r="H10">
        <v>1</v>
      </c>
      <c r="I10">
        <v>0</v>
      </c>
      <c r="J10">
        <v>3.1415999999999999</v>
      </c>
      <c r="K10">
        <v>0</v>
      </c>
      <c r="L10">
        <v>0</v>
      </c>
      <c r="M10">
        <v>0</v>
      </c>
      <c r="N10">
        <v>0</v>
      </c>
      <c r="O10" s="2">
        <v>5.0741299999999996E-3</v>
      </c>
      <c r="P10">
        <v>-3.4218400000000002E-3</v>
      </c>
      <c r="Q10">
        <v>3.4218400000000002E-3</v>
      </c>
      <c r="R10">
        <v>-1.5494300000000001E-3</v>
      </c>
      <c r="S10">
        <v>-2</v>
      </c>
      <c r="T10">
        <v>0</v>
      </c>
      <c r="U10">
        <v>2</v>
      </c>
      <c r="V10">
        <v>6.8436800000000004E-3</v>
      </c>
      <c r="W10">
        <v>0</v>
      </c>
      <c r="X10">
        <v>0</v>
      </c>
      <c r="Y10" s="4" t="s">
        <v>115</v>
      </c>
      <c r="Z10" s="4" t="s">
        <v>114</v>
      </c>
      <c r="AA10" s="4" t="s">
        <v>45</v>
      </c>
    </row>
    <row r="11" spans="1:27" x14ac:dyDescent="0.25">
      <c r="A11">
        <v>1</v>
      </c>
      <c r="B11">
        <v>0.05</v>
      </c>
      <c r="C11">
        <v>10</v>
      </c>
      <c r="D11">
        <v>-0.98809999999999998</v>
      </c>
      <c r="E11">
        <v>0</v>
      </c>
      <c r="F11">
        <v>2.6651480000000002E-2</v>
      </c>
      <c r="G11">
        <v>0.98808218999999997</v>
      </c>
      <c r="H11">
        <v>1</v>
      </c>
      <c r="I11">
        <v>0</v>
      </c>
      <c r="J11">
        <v>3.1415999999999999</v>
      </c>
      <c r="K11">
        <v>0</v>
      </c>
      <c r="L11">
        <v>0</v>
      </c>
      <c r="M11">
        <v>0</v>
      </c>
      <c r="N11">
        <v>0</v>
      </c>
      <c r="O11" s="2">
        <v>1.1917809999999999E-2</v>
      </c>
      <c r="P11">
        <v>-5.2330099999999997E-3</v>
      </c>
      <c r="Q11">
        <v>5.2330099999999997E-3</v>
      </c>
      <c r="R11">
        <v>-1.81117E-3</v>
      </c>
      <c r="S11">
        <v>-2</v>
      </c>
      <c r="T11">
        <v>0</v>
      </c>
      <c r="U11">
        <v>2</v>
      </c>
      <c r="V11">
        <v>1.046601E-2</v>
      </c>
      <c r="W11">
        <v>0</v>
      </c>
      <c r="X11">
        <v>0</v>
      </c>
      <c r="Y11" s="4" t="s">
        <v>116</v>
      </c>
      <c r="Z11" s="4" t="s">
        <v>114</v>
      </c>
      <c r="AA11" s="4" t="s">
        <v>46</v>
      </c>
    </row>
    <row r="12" spans="1:27" x14ac:dyDescent="0.25">
      <c r="A12">
        <v>1</v>
      </c>
      <c r="B12">
        <v>5.5E-2</v>
      </c>
      <c r="C12">
        <v>11</v>
      </c>
      <c r="D12">
        <v>-0.97760000000000002</v>
      </c>
      <c r="E12">
        <v>0</v>
      </c>
      <c r="F12">
        <v>3.6935129999999997E-2</v>
      </c>
      <c r="G12">
        <v>0.97761617999999995</v>
      </c>
      <c r="H12">
        <v>1</v>
      </c>
      <c r="I12">
        <v>0</v>
      </c>
      <c r="J12">
        <v>3.1415999999999999</v>
      </c>
      <c r="K12">
        <v>0</v>
      </c>
      <c r="L12">
        <v>0</v>
      </c>
      <c r="M12">
        <v>0</v>
      </c>
      <c r="N12">
        <v>0</v>
      </c>
      <c r="O12" s="2">
        <v>2.2383819999999999E-2</v>
      </c>
      <c r="P12">
        <v>-7.2522000000000003E-3</v>
      </c>
      <c r="Q12">
        <v>7.2522000000000003E-3</v>
      </c>
      <c r="R12">
        <v>-2.0191900000000001E-3</v>
      </c>
      <c r="S12">
        <v>-2</v>
      </c>
      <c r="T12">
        <v>0</v>
      </c>
      <c r="U12">
        <v>2</v>
      </c>
      <c r="V12">
        <v>1.4504390000000001E-2</v>
      </c>
      <c r="W12">
        <v>0</v>
      </c>
      <c r="X12">
        <v>0</v>
      </c>
      <c r="Y12" s="4" t="s">
        <v>117</v>
      </c>
      <c r="Z12" s="4" t="s">
        <v>114</v>
      </c>
      <c r="AA12" s="4" t="s">
        <v>47</v>
      </c>
    </row>
    <row r="13" spans="1:27" x14ac:dyDescent="0.25">
      <c r="A13">
        <v>1</v>
      </c>
      <c r="B13">
        <v>0.06</v>
      </c>
      <c r="C13">
        <v>12</v>
      </c>
      <c r="D13">
        <v>-0.96309999999999996</v>
      </c>
      <c r="E13">
        <v>0</v>
      </c>
      <c r="F13">
        <v>4.8056880000000003E-2</v>
      </c>
      <c r="G13">
        <v>0.96311179000000002</v>
      </c>
      <c r="H13">
        <v>1</v>
      </c>
      <c r="I13">
        <v>0</v>
      </c>
      <c r="J13">
        <v>3.1415999999999999</v>
      </c>
      <c r="K13">
        <v>0</v>
      </c>
      <c r="L13">
        <v>0</v>
      </c>
      <c r="M13">
        <v>0</v>
      </c>
      <c r="N13">
        <v>0</v>
      </c>
      <c r="O13" s="2">
        <v>3.6888209999999998E-2</v>
      </c>
      <c r="P13">
        <v>-9.4359500000000002E-3</v>
      </c>
      <c r="Q13">
        <v>9.4359500000000002E-3</v>
      </c>
      <c r="R13">
        <v>-2.1837499999999999E-3</v>
      </c>
      <c r="S13">
        <v>-2</v>
      </c>
      <c r="T13">
        <v>0</v>
      </c>
      <c r="U13">
        <v>2</v>
      </c>
      <c r="V13">
        <v>1.8871889999999999E-2</v>
      </c>
      <c r="W13">
        <v>0</v>
      </c>
      <c r="X13">
        <v>0</v>
      </c>
      <c r="Y13" s="4" t="s">
        <v>118</v>
      </c>
      <c r="Z13" s="4" t="s">
        <v>114</v>
      </c>
      <c r="AA13" s="4" t="s">
        <v>48</v>
      </c>
    </row>
    <row r="14" spans="1:27" x14ac:dyDescent="0.25">
      <c r="A14">
        <v>1</v>
      </c>
      <c r="B14">
        <v>6.5000000000000002E-2</v>
      </c>
      <c r="C14">
        <v>13</v>
      </c>
      <c r="D14">
        <v>-0.94420000000000004</v>
      </c>
      <c r="E14">
        <v>0</v>
      </c>
      <c r="F14">
        <v>5.9819240000000003E-2</v>
      </c>
      <c r="G14">
        <v>0.94423990000000002</v>
      </c>
      <c r="H14">
        <v>1</v>
      </c>
      <c r="I14">
        <v>0</v>
      </c>
      <c r="J14">
        <v>3.1415999999999999</v>
      </c>
      <c r="K14">
        <v>0</v>
      </c>
      <c r="L14">
        <v>0</v>
      </c>
      <c r="M14">
        <v>0</v>
      </c>
      <c r="N14">
        <v>0</v>
      </c>
      <c r="O14" s="2">
        <v>5.57601E-2</v>
      </c>
      <c r="P14">
        <v>-1.1745480000000001E-2</v>
      </c>
      <c r="Q14">
        <v>1.1745480000000001E-2</v>
      </c>
      <c r="R14">
        <v>-2.3095300000000002E-3</v>
      </c>
      <c r="S14">
        <v>-2</v>
      </c>
      <c r="T14">
        <v>0</v>
      </c>
      <c r="U14">
        <v>2</v>
      </c>
      <c r="V14">
        <v>2.3490960000000002E-2</v>
      </c>
      <c r="W14">
        <v>0</v>
      </c>
      <c r="X14">
        <v>0</v>
      </c>
      <c r="Y14" s="4" t="s">
        <v>119</v>
      </c>
      <c r="Z14" s="4" t="s">
        <v>114</v>
      </c>
      <c r="AA14" s="4" t="s">
        <v>49</v>
      </c>
    </row>
    <row r="15" spans="1:27" x14ac:dyDescent="0.25">
      <c r="A15">
        <v>1</v>
      </c>
      <c r="B15">
        <v>7.0000000000000007E-2</v>
      </c>
      <c r="C15">
        <v>14</v>
      </c>
      <c r="D15">
        <v>-0.92069999999999996</v>
      </c>
      <c r="E15">
        <v>0</v>
      </c>
      <c r="F15">
        <v>7.2036349999999999E-2</v>
      </c>
      <c r="G15">
        <v>0.92074893999999996</v>
      </c>
      <c r="H15">
        <v>1</v>
      </c>
      <c r="I15">
        <v>0</v>
      </c>
      <c r="J15">
        <v>3.1415999999999999</v>
      </c>
      <c r="K15">
        <v>0</v>
      </c>
      <c r="L15">
        <v>0</v>
      </c>
      <c r="M15">
        <v>0</v>
      </c>
      <c r="N15">
        <v>0</v>
      </c>
      <c r="O15" s="2">
        <v>7.9251059999999998E-2</v>
      </c>
      <c r="P15">
        <v>-1.41443E-2</v>
      </c>
      <c r="Q15">
        <v>1.41443E-2</v>
      </c>
      <c r="R15">
        <v>-2.3988199999999999E-3</v>
      </c>
      <c r="S15">
        <v>-2</v>
      </c>
      <c r="T15">
        <v>0</v>
      </c>
      <c r="U15">
        <v>2</v>
      </c>
      <c r="V15">
        <v>2.8288609999999999E-2</v>
      </c>
      <c r="W15">
        <v>0</v>
      </c>
      <c r="X15">
        <v>0</v>
      </c>
      <c r="Y15" s="4" t="s">
        <v>120</v>
      </c>
      <c r="Z15" s="4" t="s">
        <v>114</v>
      </c>
      <c r="AA15" s="4" t="s">
        <v>50</v>
      </c>
    </row>
    <row r="16" spans="1:27" x14ac:dyDescent="0.25">
      <c r="A16">
        <v>1</v>
      </c>
      <c r="B16">
        <v>7.4999999999999997E-2</v>
      </c>
      <c r="C16">
        <v>15</v>
      </c>
      <c r="D16">
        <v>-0.89249999999999996</v>
      </c>
      <c r="E16">
        <v>0</v>
      </c>
      <c r="F16">
        <v>8.452838E-2</v>
      </c>
      <c r="G16">
        <v>0.89246033000000002</v>
      </c>
      <c r="H16">
        <v>1</v>
      </c>
      <c r="I16">
        <v>0</v>
      </c>
      <c r="J16">
        <v>3.1415999999999999</v>
      </c>
      <c r="K16">
        <v>0</v>
      </c>
      <c r="L16">
        <v>0</v>
      </c>
      <c r="M16">
        <v>0</v>
      </c>
      <c r="N16">
        <v>0</v>
      </c>
      <c r="O16" s="2">
        <v>0.10753967</v>
      </c>
      <c r="P16">
        <v>-1.6597110000000002E-2</v>
      </c>
      <c r="Q16">
        <v>1.6597110000000002E-2</v>
      </c>
      <c r="R16">
        <v>-2.4528100000000001E-3</v>
      </c>
      <c r="S16">
        <v>-2</v>
      </c>
      <c r="T16">
        <v>0</v>
      </c>
      <c r="U16">
        <v>2</v>
      </c>
      <c r="V16">
        <v>3.3194220000000003E-2</v>
      </c>
      <c r="W16">
        <v>0</v>
      </c>
      <c r="X16">
        <v>0</v>
      </c>
      <c r="Y16" s="4" t="s">
        <v>121</v>
      </c>
      <c r="Z16" s="4" t="s">
        <v>114</v>
      </c>
      <c r="AA16" s="4" t="s">
        <v>51</v>
      </c>
    </row>
    <row r="17" spans="1:27" x14ac:dyDescent="0.25">
      <c r="A17">
        <v>1</v>
      </c>
      <c r="B17">
        <v>0.08</v>
      </c>
      <c r="C17">
        <v>16</v>
      </c>
      <c r="D17">
        <v>-0.85929999999999995</v>
      </c>
      <c r="E17">
        <v>0</v>
      </c>
      <c r="F17">
        <v>9.7119239999999996E-2</v>
      </c>
      <c r="G17">
        <v>0.85926610999999997</v>
      </c>
      <c r="H17">
        <v>1</v>
      </c>
      <c r="I17">
        <v>0</v>
      </c>
      <c r="J17">
        <v>3.1415999999999999</v>
      </c>
      <c r="K17">
        <v>0</v>
      </c>
      <c r="L17">
        <v>0</v>
      </c>
      <c r="M17">
        <v>0</v>
      </c>
      <c r="N17">
        <v>0</v>
      </c>
      <c r="O17" s="2">
        <v>0.14073389</v>
      </c>
      <c r="P17">
        <v>-1.9069320000000001E-2</v>
      </c>
      <c r="Q17">
        <v>1.9069320000000001E-2</v>
      </c>
      <c r="R17">
        <v>-2.4722099999999999E-3</v>
      </c>
      <c r="S17">
        <v>-2</v>
      </c>
      <c r="T17">
        <v>0</v>
      </c>
      <c r="U17">
        <v>2</v>
      </c>
      <c r="V17">
        <v>3.8138640000000001E-2</v>
      </c>
      <c r="W17">
        <v>0</v>
      </c>
      <c r="X17">
        <v>0</v>
      </c>
      <c r="Y17" s="4" t="s">
        <v>122</v>
      </c>
      <c r="Z17" s="4" t="s">
        <v>114</v>
      </c>
      <c r="AA17" s="4" t="s">
        <v>52</v>
      </c>
    </row>
    <row r="18" spans="1:27" x14ac:dyDescent="0.25">
      <c r="A18">
        <v>1</v>
      </c>
      <c r="B18">
        <v>8.5000000000000006E-2</v>
      </c>
      <c r="C18">
        <v>17</v>
      </c>
      <c r="D18">
        <v>-0.82110000000000005</v>
      </c>
      <c r="E18">
        <v>0</v>
      </c>
      <c r="F18">
        <v>0.10963595</v>
      </c>
      <c r="G18">
        <v>0.82112746999999997</v>
      </c>
      <c r="H18">
        <v>1</v>
      </c>
      <c r="I18">
        <v>0</v>
      </c>
      <c r="J18">
        <v>3.1415999999999999</v>
      </c>
      <c r="K18">
        <v>0</v>
      </c>
      <c r="L18">
        <v>0</v>
      </c>
      <c r="M18">
        <v>0</v>
      </c>
      <c r="N18">
        <v>0</v>
      </c>
      <c r="O18" s="2">
        <v>0.17887253</v>
      </c>
      <c r="P18">
        <v>-2.1526969999999999E-2</v>
      </c>
      <c r="Q18">
        <v>2.1526969999999999E-2</v>
      </c>
      <c r="R18">
        <v>-2.45765E-3</v>
      </c>
      <c r="S18">
        <v>-2</v>
      </c>
      <c r="T18">
        <v>0</v>
      </c>
      <c r="U18">
        <v>2</v>
      </c>
      <c r="V18">
        <v>4.3053939999999999E-2</v>
      </c>
      <c r="W18">
        <v>0</v>
      </c>
      <c r="X18">
        <v>0</v>
      </c>
      <c r="Y18" s="4" t="s">
        <v>123</v>
      </c>
      <c r="Z18" s="4" t="s">
        <v>114</v>
      </c>
      <c r="AA18" s="4" t="s">
        <v>53</v>
      </c>
    </row>
    <row r="19" spans="1:27" x14ac:dyDescent="0.25">
      <c r="A19">
        <v>1</v>
      </c>
      <c r="B19">
        <v>0.09</v>
      </c>
      <c r="C19">
        <v>18</v>
      </c>
      <c r="D19">
        <v>-0.77810000000000001</v>
      </c>
      <c r="E19">
        <v>0</v>
      </c>
      <c r="F19">
        <v>0.12190911</v>
      </c>
      <c r="G19">
        <v>0.77807353999999995</v>
      </c>
      <c r="H19">
        <v>1</v>
      </c>
      <c r="I19">
        <v>0</v>
      </c>
      <c r="J19">
        <v>3.1415999999999999</v>
      </c>
      <c r="K19">
        <v>0</v>
      </c>
      <c r="L19">
        <v>0</v>
      </c>
      <c r="M19">
        <v>0</v>
      </c>
      <c r="N19">
        <v>0</v>
      </c>
      <c r="O19" s="2">
        <v>0.22192645999999999</v>
      </c>
      <c r="P19">
        <v>-2.3936800000000001E-2</v>
      </c>
      <c r="Q19">
        <v>2.3936800000000001E-2</v>
      </c>
      <c r="R19">
        <v>-2.40983E-3</v>
      </c>
      <c r="S19">
        <v>-2</v>
      </c>
      <c r="T19">
        <v>0</v>
      </c>
      <c r="U19">
        <v>2</v>
      </c>
      <c r="V19">
        <v>4.7873600000000002E-2</v>
      </c>
      <c r="W19">
        <v>0</v>
      </c>
      <c r="X19">
        <v>0</v>
      </c>
      <c r="Y19" s="4" t="s">
        <v>124</v>
      </c>
      <c r="Z19" s="4" t="s">
        <v>114</v>
      </c>
      <c r="AA19" s="4" t="s">
        <v>54</v>
      </c>
    </row>
    <row r="20" spans="1:27" x14ac:dyDescent="0.25">
      <c r="A20">
        <v>1</v>
      </c>
      <c r="B20">
        <v>9.5000000000000001E-2</v>
      </c>
      <c r="C20">
        <v>19</v>
      </c>
      <c r="D20">
        <v>-0.73019999999999996</v>
      </c>
      <c r="E20">
        <v>0</v>
      </c>
      <c r="F20">
        <v>0.13377405000000001</v>
      </c>
      <c r="G20">
        <v>0.73019993999999999</v>
      </c>
      <c r="H20">
        <v>1</v>
      </c>
      <c r="I20">
        <v>0</v>
      </c>
      <c r="J20">
        <v>3.1415999999999999</v>
      </c>
      <c r="K20">
        <v>0</v>
      </c>
      <c r="L20">
        <v>0</v>
      </c>
      <c r="M20">
        <v>0</v>
      </c>
      <c r="N20">
        <v>0</v>
      </c>
      <c r="O20" s="2">
        <v>0.26980006000000001</v>
      </c>
      <c r="P20">
        <v>-2.626647E-2</v>
      </c>
      <c r="Q20">
        <v>2.626647E-2</v>
      </c>
      <c r="R20">
        <v>-2.3296699999999998E-3</v>
      </c>
      <c r="S20">
        <v>-2</v>
      </c>
      <c r="T20">
        <v>0</v>
      </c>
      <c r="U20">
        <v>2</v>
      </c>
      <c r="V20">
        <v>5.2532950000000002E-2</v>
      </c>
      <c r="W20">
        <v>0</v>
      </c>
      <c r="X20">
        <v>0</v>
      </c>
      <c r="Y20" s="4" t="s">
        <v>125</v>
      </c>
      <c r="Z20" s="4" t="s">
        <v>114</v>
      </c>
      <c r="AA20" s="4" t="s">
        <v>55</v>
      </c>
    </row>
    <row r="21" spans="1:27" x14ac:dyDescent="0.25">
      <c r="A21">
        <v>1</v>
      </c>
      <c r="B21">
        <v>0.1</v>
      </c>
      <c r="C21">
        <v>20</v>
      </c>
      <c r="D21">
        <v>-0.67769999999999997</v>
      </c>
      <c r="E21">
        <v>0</v>
      </c>
      <c r="F21">
        <v>0.14507222</v>
      </c>
      <c r="G21">
        <v>0.67766700000000002</v>
      </c>
      <c r="H21">
        <v>1</v>
      </c>
      <c r="I21">
        <v>0</v>
      </c>
      <c r="J21">
        <v>3.1415999999999999</v>
      </c>
      <c r="K21">
        <v>0</v>
      </c>
      <c r="L21">
        <v>0</v>
      </c>
      <c r="M21">
        <v>0</v>
      </c>
      <c r="N21">
        <v>0</v>
      </c>
      <c r="O21" s="2">
        <v>0.32233299999999998</v>
      </c>
      <c r="P21">
        <v>-2.8484860000000001E-2</v>
      </c>
      <c r="Q21">
        <v>2.8484860000000001E-2</v>
      </c>
      <c r="R21">
        <v>-2.2183900000000002E-3</v>
      </c>
      <c r="S21">
        <v>-2</v>
      </c>
      <c r="T21">
        <v>0</v>
      </c>
      <c r="U21">
        <v>2</v>
      </c>
      <c r="V21">
        <v>5.6969730000000003E-2</v>
      </c>
      <c r="W21">
        <v>0</v>
      </c>
      <c r="X21">
        <v>0</v>
      </c>
      <c r="Y21" s="4" t="s">
        <v>126</v>
      </c>
      <c r="Z21" s="4" t="s">
        <v>114</v>
      </c>
      <c r="AA21" s="4" t="s">
        <v>56</v>
      </c>
    </row>
    <row r="22" spans="1:27" x14ac:dyDescent="0.25">
      <c r="A22">
        <v>1</v>
      </c>
      <c r="B22">
        <v>0.105</v>
      </c>
      <c r="C22">
        <v>21</v>
      </c>
      <c r="D22">
        <v>-0.62070000000000003</v>
      </c>
      <c r="E22">
        <v>0</v>
      </c>
      <c r="F22">
        <v>0.15565295000000001</v>
      </c>
      <c r="G22">
        <v>0.62069726999999997</v>
      </c>
      <c r="H22">
        <v>1</v>
      </c>
      <c r="I22">
        <v>0</v>
      </c>
      <c r="J22">
        <v>3.1415999999999999</v>
      </c>
      <c r="K22">
        <v>0</v>
      </c>
      <c r="L22">
        <v>0</v>
      </c>
      <c r="M22">
        <v>0</v>
      </c>
      <c r="N22">
        <v>0</v>
      </c>
      <c r="O22" s="2">
        <v>0.37930272999999998</v>
      </c>
      <c r="P22">
        <v>-3.0562389999999998E-2</v>
      </c>
      <c r="Q22">
        <v>3.0562389999999998E-2</v>
      </c>
      <c r="R22">
        <v>-2.0775199999999998E-3</v>
      </c>
      <c r="S22">
        <v>-2</v>
      </c>
      <c r="T22">
        <v>0</v>
      </c>
      <c r="U22">
        <v>2</v>
      </c>
      <c r="V22">
        <v>6.1124770000000002E-2</v>
      </c>
      <c r="W22">
        <v>0</v>
      </c>
      <c r="X22">
        <v>0</v>
      </c>
      <c r="Y22" s="4" t="s">
        <v>127</v>
      </c>
      <c r="Z22" s="4" t="s">
        <v>114</v>
      </c>
      <c r="AA22" s="4" t="s">
        <v>57</v>
      </c>
    </row>
    <row r="23" spans="1:27" x14ac:dyDescent="0.25">
      <c r="A23">
        <v>1</v>
      </c>
      <c r="B23">
        <v>0.11</v>
      </c>
      <c r="C23">
        <v>22</v>
      </c>
      <c r="D23">
        <v>-0.55959999999999999</v>
      </c>
      <c r="E23">
        <v>0</v>
      </c>
      <c r="F23">
        <v>0.16537516999999999</v>
      </c>
      <c r="G23">
        <v>0.55957250000000003</v>
      </c>
      <c r="H23">
        <v>1</v>
      </c>
      <c r="I23">
        <v>0</v>
      </c>
      <c r="J23">
        <v>3.1415999999999999</v>
      </c>
      <c r="K23">
        <v>0</v>
      </c>
      <c r="L23">
        <v>0</v>
      </c>
      <c r="M23">
        <v>0</v>
      </c>
      <c r="N23">
        <v>0</v>
      </c>
      <c r="O23" s="2">
        <v>0.44042750000000003</v>
      </c>
      <c r="P23">
        <v>-3.2471340000000001E-2</v>
      </c>
      <c r="Q23">
        <v>3.2471340000000001E-2</v>
      </c>
      <c r="R23">
        <v>-1.90895E-3</v>
      </c>
      <c r="S23">
        <v>-2</v>
      </c>
      <c r="T23">
        <v>0</v>
      </c>
      <c r="U23">
        <v>2</v>
      </c>
      <c r="V23">
        <v>6.4942680000000003E-2</v>
      </c>
      <c r="W23">
        <v>0</v>
      </c>
      <c r="X23">
        <v>0</v>
      </c>
      <c r="Y23" s="4" t="s">
        <v>128</v>
      </c>
      <c r="Z23" s="4" t="s">
        <v>114</v>
      </c>
      <c r="AA23" s="4" t="s">
        <v>58</v>
      </c>
    </row>
    <row r="24" spans="1:27" x14ac:dyDescent="0.25">
      <c r="A24">
        <v>1</v>
      </c>
      <c r="B24">
        <v>0.115</v>
      </c>
      <c r="C24">
        <v>23</v>
      </c>
      <c r="D24">
        <v>-0.49459999999999998</v>
      </c>
      <c r="E24">
        <v>0</v>
      </c>
      <c r="F24">
        <v>0.17410919999999999</v>
      </c>
      <c r="G24">
        <v>0.49462982</v>
      </c>
      <c r="H24">
        <v>1</v>
      </c>
      <c r="I24">
        <v>0</v>
      </c>
      <c r="J24">
        <v>3.1415999999999999</v>
      </c>
      <c r="K24">
        <v>0</v>
      </c>
      <c r="L24">
        <v>0</v>
      </c>
      <c r="M24">
        <v>0</v>
      </c>
      <c r="N24">
        <v>0</v>
      </c>
      <c r="O24" s="2">
        <v>0.50537018</v>
      </c>
      <c r="P24">
        <v>-3.4186260000000003E-2</v>
      </c>
      <c r="Q24">
        <v>3.4186260000000003E-2</v>
      </c>
      <c r="R24">
        <v>-1.71492E-3</v>
      </c>
      <c r="S24">
        <v>-2</v>
      </c>
      <c r="T24">
        <v>0</v>
      </c>
      <c r="U24">
        <v>2</v>
      </c>
      <c r="V24">
        <v>6.8372520000000006E-2</v>
      </c>
      <c r="W24">
        <v>0</v>
      </c>
      <c r="X24">
        <v>0</v>
      </c>
      <c r="Y24" s="4" t="s">
        <v>129</v>
      </c>
      <c r="Z24" s="4" t="s">
        <v>114</v>
      </c>
      <c r="AA24" s="4" t="s">
        <v>59</v>
      </c>
    </row>
    <row r="25" spans="1:27" x14ac:dyDescent="0.25">
      <c r="A25">
        <v>1</v>
      </c>
      <c r="B25">
        <v>0.12</v>
      </c>
      <c r="C25">
        <v>24</v>
      </c>
      <c r="D25">
        <v>-0.42630000000000001</v>
      </c>
      <c r="E25">
        <v>0</v>
      </c>
      <c r="F25">
        <v>0.18173848000000001</v>
      </c>
      <c r="G25">
        <v>0.42625730000000001</v>
      </c>
      <c r="H25">
        <v>1</v>
      </c>
      <c r="I25">
        <v>0</v>
      </c>
      <c r="J25">
        <v>3.1415999999999999</v>
      </c>
      <c r="K25">
        <v>0</v>
      </c>
      <c r="L25">
        <v>0</v>
      </c>
      <c r="M25">
        <v>0</v>
      </c>
      <c r="N25">
        <v>0</v>
      </c>
      <c r="O25" s="2">
        <v>0.57374270000000005</v>
      </c>
      <c r="P25">
        <v>-3.5684269999999997E-2</v>
      </c>
      <c r="Q25">
        <v>3.5684269999999997E-2</v>
      </c>
      <c r="R25">
        <v>-1.498E-3</v>
      </c>
      <c r="S25">
        <v>-2</v>
      </c>
      <c r="T25">
        <v>0</v>
      </c>
      <c r="U25">
        <v>2</v>
      </c>
      <c r="V25">
        <v>7.1368529999999999E-2</v>
      </c>
      <c r="W25">
        <v>0</v>
      </c>
      <c r="X25">
        <v>0</v>
      </c>
      <c r="Y25" s="4" t="s">
        <v>130</v>
      </c>
      <c r="Z25" s="4" t="s">
        <v>114</v>
      </c>
      <c r="AA25" s="4" t="s">
        <v>60</v>
      </c>
    </row>
    <row r="26" spans="1:27" x14ac:dyDescent="0.25">
      <c r="A26">
        <v>1</v>
      </c>
      <c r="B26">
        <v>0.125</v>
      </c>
      <c r="C26">
        <v>25</v>
      </c>
      <c r="D26">
        <v>-0.35489999999999999</v>
      </c>
      <c r="E26">
        <v>0</v>
      </c>
      <c r="F26">
        <v>0.18816105999999999</v>
      </c>
      <c r="G26">
        <v>0.35488876000000003</v>
      </c>
      <c r="H26">
        <v>1</v>
      </c>
      <c r="I26">
        <v>0</v>
      </c>
      <c r="J26">
        <v>3.1415999999999999</v>
      </c>
      <c r="K26">
        <v>0</v>
      </c>
      <c r="L26">
        <v>0</v>
      </c>
      <c r="M26">
        <v>0</v>
      </c>
      <c r="N26">
        <v>0</v>
      </c>
      <c r="O26" s="2">
        <v>0.64511123999999997</v>
      </c>
      <c r="P26">
        <v>-3.694534E-2</v>
      </c>
      <c r="Q26">
        <v>3.694534E-2</v>
      </c>
      <c r="R26">
        <v>-1.26107E-3</v>
      </c>
      <c r="S26">
        <v>-2</v>
      </c>
      <c r="T26">
        <v>0</v>
      </c>
      <c r="U26">
        <v>2</v>
      </c>
      <c r="V26">
        <v>7.389068E-2</v>
      </c>
      <c r="W26">
        <v>0</v>
      </c>
      <c r="X26">
        <v>0</v>
      </c>
      <c r="Y26" s="4" t="s">
        <v>131</v>
      </c>
      <c r="Z26" s="4" t="s">
        <v>114</v>
      </c>
      <c r="AA26" s="4" t="s">
        <v>61</v>
      </c>
    </row>
    <row r="27" spans="1:27" x14ac:dyDescent="0.25">
      <c r="A27">
        <v>1</v>
      </c>
      <c r="B27">
        <v>0.13</v>
      </c>
      <c r="C27">
        <v>26</v>
      </c>
      <c r="D27">
        <v>-0.28100000000000003</v>
      </c>
      <c r="E27">
        <v>0</v>
      </c>
      <c r="F27">
        <v>0.19329107000000001</v>
      </c>
      <c r="G27">
        <v>0.28099808999999998</v>
      </c>
      <c r="H27">
        <v>1</v>
      </c>
      <c r="I27">
        <v>0</v>
      </c>
      <c r="J27">
        <v>3.1415999999999999</v>
      </c>
      <c r="K27">
        <v>0</v>
      </c>
      <c r="L27">
        <v>0</v>
      </c>
      <c r="M27">
        <v>0</v>
      </c>
      <c r="N27">
        <v>0</v>
      </c>
      <c r="O27" s="2">
        <v>0.71900191000000002</v>
      </c>
      <c r="P27">
        <v>-3.7952609999999998E-2</v>
      </c>
      <c r="Q27">
        <v>3.7952609999999998E-2</v>
      </c>
      <c r="R27">
        <v>-1.00727E-3</v>
      </c>
      <c r="S27">
        <v>-2</v>
      </c>
      <c r="T27">
        <v>0</v>
      </c>
      <c r="U27">
        <v>2</v>
      </c>
      <c r="V27">
        <v>7.5905219999999995E-2</v>
      </c>
      <c r="W27">
        <v>0</v>
      </c>
      <c r="X27">
        <v>0</v>
      </c>
      <c r="Y27" s="4" t="s">
        <v>132</v>
      </c>
      <c r="Z27" s="4" t="s">
        <v>114</v>
      </c>
      <c r="AA27" s="4" t="s">
        <v>62</v>
      </c>
    </row>
    <row r="28" spans="1:27" x14ac:dyDescent="0.25">
      <c r="A28">
        <v>1</v>
      </c>
      <c r="B28">
        <v>0.13500000000000001</v>
      </c>
      <c r="C28">
        <v>27</v>
      </c>
      <c r="D28">
        <v>-0.2051</v>
      </c>
      <c r="E28">
        <v>0</v>
      </c>
      <c r="F28">
        <v>0.19705985000000001</v>
      </c>
      <c r="G28">
        <v>0.20509285999999999</v>
      </c>
      <c r="H28">
        <v>1</v>
      </c>
      <c r="I28">
        <v>0</v>
      </c>
      <c r="J28">
        <v>3.1415999999999999</v>
      </c>
      <c r="K28">
        <v>0</v>
      </c>
      <c r="L28">
        <v>0</v>
      </c>
      <c r="M28">
        <v>0</v>
      </c>
      <c r="N28">
        <v>0</v>
      </c>
      <c r="O28" s="2">
        <v>0.79490713999999996</v>
      </c>
      <c r="P28">
        <v>-3.8692610000000002E-2</v>
      </c>
      <c r="Q28">
        <v>3.8692610000000002E-2</v>
      </c>
      <c r="R28">
        <v>-7.3999999999999999E-4</v>
      </c>
      <c r="S28">
        <v>-2</v>
      </c>
      <c r="T28">
        <v>0</v>
      </c>
      <c r="U28">
        <v>2</v>
      </c>
      <c r="V28">
        <v>7.7385220000000005E-2</v>
      </c>
      <c r="W28">
        <v>0</v>
      </c>
      <c r="X28">
        <v>0</v>
      </c>
      <c r="Y28" s="4" t="s">
        <v>133</v>
      </c>
      <c r="Z28" s="4" t="s">
        <v>114</v>
      </c>
      <c r="AA28" s="4" t="s">
        <v>63</v>
      </c>
    </row>
    <row r="29" spans="1:27" x14ac:dyDescent="0.25">
      <c r="A29">
        <v>1</v>
      </c>
      <c r="B29">
        <v>0.14000000000000001</v>
      </c>
      <c r="C29">
        <v>28</v>
      </c>
      <c r="D29">
        <v>-0.12770000000000001</v>
      </c>
      <c r="E29">
        <v>0</v>
      </c>
      <c r="F29">
        <v>0.19941693999999999</v>
      </c>
      <c r="G29">
        <v>0.12770764000000001</v>
      </c>
      <c r="H29">
        <v>1</v>
      </c>
      <c r="I29">
        <v>0</v>
      </c>
      <c r="J29">
        <v>3.1415999999999999</v>
      </c>
      <c r="K29">
        <v>0</v>
      </c>
      <c r="L29">
        <v>0</v>
      </c>
      <c r="M29">
        <v>0</v>
      </c>
      <c r="N29">
        <v>0</v>
      </c>
      <c r="O29" s="2">
        <v>0.87229235999999999</v>
      </c>
      <c r="P29">
        <v>-3.9155420000000003E-2</v>
      </c>
      <c r="Q29">
        <v>3.9155420000000003E-2</v>
      </c>
      <c r="R29">
        <v>-4.6281000000000002E-4</v>
      </c>
      <c r="S29">
        <v>-2</v>
      </c>
      <c r="T29">
        <v>0</v>
      </c>
      <c r="U29">
        <v>2</v>
      </c>
      <c r="V29">
        <v>7.8310850000000001E-2</v>
      </c>
      <c r="W29">
        <v>0</v>
      </c>
      <c r="X29">
        <v>0</v>
      </c>
      <c r="Y29" s="4" t="s">
        <v>134</v>
      </c>
      <c r="Z29" s="4" t="s">
        <v>114</v>
      </c>
      <c r="AA29" s="4" t="s">
        <v>64</v>
      </c>
    </row>
    <row r="30" spans="1:27" x14ac:dyDescent="0.25">
      <c r="A30">
        <v>1</v>
      </c>
      <c r="B30">
        <v>0.14499999999999999</v>
      </c>
      <c r="C30">
        <v>29</v>
      </c>
      <c r="D30">
        <v>-4.9399999999999999E-2</v>
      </c>
      <c r="E30">
        <v>0</v>
      </c>
      <c r="F30">
        <v>0.20033076999999999</v>
      </c>
      <c r="G30">
        <v>4.9396790000000003E-2</v>
      </c>
      <c r="H30">
        <v>1</v>
      </c>
      <c r="I30">
        <v>0</v>
      </c>
      <c r="J30">
        <v>3.1415999999999999</v>
      </c>
      <c r="K30">
        <v>0</v>
      </c>
      <c r="L30">
        <v>0</v>
      </c>
      <c r="M30">
        <v>0</v>
      </c>
      <c r="N30">
        <v>0</v>
      </c>
      <c r="O30" s="2">
        <v>0.95060321000000003</v>
      </c>
      <c r="P30">
        <v>-3.9334849999999998E-2</v>
      </c>
      <c r="Q30">
        <v>3.9334849999999998E-2</v>
      </c>
      <c r="R30">
        <v>-1.7943000000000001E-4</v>
      </c>
      <c r="S30">
        <v>-2</v>
      </c>
      <c r="T30">
        <v>0</v>
      </c>
      <c r="U30">
        <v>2</v>
      </c>
      <c r="V30">
        <v>7.8669710000000004E-2</v>
      </c>
      <c r="W30">
        <v>0</v>
      </c>
      <c r="X30">
        <v>0</v>
      </c>
      <c r="Y30" s="4" t="s">
        <v>135</v>
      </c>
      <c r="Z30" s="4" t="s">
        <v>114</v>
      </c>
      <c r="AA30" s="4" t="s">
        <v>65</v>
      </c>
    </row>
    <row r="31" spans="1:27" x14ac:dyDescent="0.25">
      <c r="A31">
        <v>1</v>
      </c>
      <c r="B31">
        <v>0.15</v>
      </c>
      <c r="C31">
        <v>30</v>
      </c>
      <c r="D31">
        <v>2.93E-2</v>
      </c>
      <c r="E31">
        <v>0</v>
      </c>
      <c r="F31">
        <v>0.19978908000000001</v>
      </c>
      <c r="G31">
        <v>2.9272920000000001E-2</v>
      </c>
      <c r="H31">
        <v>1</v>
      </c>
      <c r="I31">
        <v>0</v>
      </c>
      <c r="J31">
        <v>6.2831999999999999</v>
      </c>
      <c r="K31">
        <v>0</v>
      </c>
      <c r="L31">
        <v>0</v>
      </c>
      <c r="M31">
        <v>0</v>
      </c>
      <c r="N31">
        <v>0</v>
      </c>
      <c r="O31" s="2">
        <v>0.97072707999999996</v>
      </c>
      <c r="P31">
        <v>-3.9228499999999999E-2</v>
      </c>
      <c r="Q31">
        <v>3.9228499999999999E-2</v>
      </c>
      <c r="R31">
        <v>1.0636E-4</v>
      </c>
      <c r="S31">
        <v>-2</v>
      </c>
      <c r="T31">
        <v>0</v>
      </c>
      <c r="U31">
        <v>2</v>
      </c>
      <c r="V31">
        <v>7.8456990000000004E-2</v>
      </c>
      <c r="W31">
        <v>0</v>
      </c>
      <c r="X31">
        <v>0</v>
      </c>
      <c r="Y31" s="4" t="s">
        <v>67</v>
      </c>
      <c r="Z31" s="4" t="s">
        <v>114</v>
      </c>
      <c r="AA31" s="4" t="s">
        <v>67</v>
      </c>
    </row>
    <row r="32" spans="1:27" x14ac:dyDescent="0.25">
      <c r="A32">
        <v>1</v>
      </c>
      <c r="B32">
        <v>0.155</v>
      </c>
      <c r="C32">
        <v>31</v>
      </c>
      <c r="D32">
        <v>0.1077</v>
      </c>
      <c r="E32">
        <v>0</v>
      </c>
      <c r="F32">
        <v>0.19779915000000001</v>
      </c>
      <c r="G32">
        <v>0.10772991</v>
      </c>
      <c r="H32">
        <v>1</v>
      </c>
      <c r="I32">
        <v>0</v>
      </c>
      <c r="J32">
        <v>6.2831999999999999</v>
      </c>
      <c r="K32">
        <v>0</v>
      </c>
      <c r="L32">
        <v>0</v>
      </c>
      <c r="M32">
        <v>0</v>
      </c>
      <c r="N32">
        <v>0</v>
      </c>
      <c r="O32" s="2">
        <v>0.89227009000000002</v>
      </c>
      <c r="P32">
        <v>-3.8837770000000001E-2</v>
      </c>
      <c r="Q32">
        <v>3.8837770000000001E-2</v>
      </c>
      <c r="R32">
        <v>3.9072E-4</v>
      </c>
      <c r="S32">
        <v>-2</v>
      </c>
      <c r="T32">
        <v>0</v>
      </c>
      <c r="U32">
        <v>2</v>
      </c>
      <c r="V32">
        <v>7.7675549999999996E-2</v>
      </c>
      <c r="W32">
        <v>0</v>
      </c>
      <c r="X32">
        <v>0</v>
      </c>
      <c r="Y32" s="4" t="s">
        <v>69</v>
      </c>
      <c r="Z32" s="4" t="s">
        <v>114</v>
      </c>
      <c r="AA32" s="4" t="s">
        <v>69</v>
      </c>
    </row>
    <row r="33" spans="1:27" x14ac:dyDescent="0.25">
      <c r="A33">
        <v>1</v>
      </c>
      <c r="B33">
        <v>0.16</v>
      </c>
      <c r="C33">
        <v>32</v>
      </c>
      <c r="D33">
        <v>0.18540000000000001</v>
      </c>
      <c r="E33">
        <v>0</v>
      </c>
      <c r="F33">
        <v>0.19438763000000001</v>
      </c>
      <c r="G33">
        <v>0.18540545</v>
      </c>
      <c r="H33">
        <v>1</v>
      </c>
      <c r="I33">
        <v>0</v>
      </c>
      <c r="J33">
        <v>6.2831999999999999</v>
      </c>
      <c r="K33">
        <v>0</v>
      </c>
      <c r="L33">
        <v>0</v>
      </c>
      <c r="M33">
        <v>0</v>
      </c>
      <c r="N33">
        <v>0</v>
      </c>
      <c r="O33" s="2">
        <v>0.81459455000000003</v>
      </c>
      <c r="P33">
        <v>-3.8167920000000001E-2</v>
      </c>
      <c r="Q33">
        <v>3.8167920000000001E-2</v>
      </c>
      <c r="R33">
        <v>6.6985000000000005E-4</v>
      </c>
      <c r="S33">
        <v>-2</v>
      </c>
      <c r="T33">
        <v>0</v>
      </c>
      <c r="U33">
        <v>2</v>
      </c>
      <c r="V33">
        <v>7.6335840000000002E-2</v>
      </c>
      <c r="W33">
        <v>0</v>
      </c>
      <c r="X33">
        <v>0</v>
      </c>
      <c r="Y33" s="4" t="s">
        <v>71</v>
      </c>
      <c r="Z33" s="4" t="s">
        <v>114</v>
      </c>
      <c r="AA33" s="4" t="s">
        <v>71</v>
      </c>
    </row>
    <row r="34" spans="1:27" x14ac:dyDescent="0.25">
      <c r="A34">
        <v>1</v>
      </c>
      <c r="B34">
        <v>0.16500000000000001</v>
      </c>
      <c r="C34">
        <v>33</v>
      </c>
      <c r="D34">
        <v>0.26169999999999999</v>
      </c>
      <c r="E34">
        <v>0</v>
      </c>
      <c r="F34">
        <v>0.18960019</v>
      </c>
      <c r="G34">
        <v>0.26174130000000001</v>
      </c>
      <c r="H34">
        <v>1</v>
      </c>
      <c r="I34">
        <v>0</v>
      </c>
      <c r="J34">
        <v>6.2831999999999999</v>
      </c>
      <c r="K34">
        <v>0</v>
      </c>
      <c r="L34">
        <v>0</v>
      </c>
      <c r="M34">
        <v>0</v>
      </c>
      <c r="N34">
        <v>0</v>
      </c>
      <c r="O34" s="2">
        <v>0.73825870000000005</v>
      </c>
      <c r="P34">
        <v>-3.7227910000000003E-2</v>
      </c>
      <c r="Q34">
        <v>3.7227910000000003E-2</v>
      </c>
      <c r="R34">
        <v>9.4001000000000002E-4</v>
      </c>
      <c r="S34">
        <v>-2</v>
      </c>
      <c r="T34">
        <v>0</v>
      </c>
      <c r="U34">
        <v>2</v>
      </c>
      <c r="V34">
        <v>7.4455820000000006E-2</v>
      </c>
      <c r="W34">
        <v>0</v>
      </c>
      <c r="X34">
        <v>0</v>
      </c>
      <c r="Y34" s="4" t="s">
        <v>73</v>
      </c>
      <c r="Z34" s="4" t="s">
        <v>114</v>
      </c>
      <c r="AA34" s="4" t="s">
        <v>73</v>
      </c>
    </row>
    <row r="35" spans="1:27" x14ac:dyDescent="0.25">
      <c r="A35">
        <v>1</v>
      </c>
      <c r="B35">
        <v>0.17</v>
      </c>
      <c r="C35">
        <v>34</v>
      </c>
      <c r="D35">
        <v>0.3362</v>
      </c>
      <c r="E35">
        <v>0</v>
      </c>
      <c r="F35">
        <v>0.18350093000000001</v>
      </c>
      <c r="G35">
        <v>0.33619712000000002</v>
      </c>
      <c r="H35">
        <v>1</v>
      </c>
      <c r="I35">
        <v>0</v>
      </c>
      <c r="J35">
        <v>6.2831999999999999</v>
      </c>
      <c r="K35">
        <v>0</v>
      </c>
      <c r="L35">
        <v>0</v>
      </c>
      <c r="M35">
        <v>0</v>
      </c>
      <c r="N35">
        <v>0</v>
      </c>
      <c r="O35" s="2">
        <v>0.66380287999999998</v>
      </c>
      <c r="P35">
        <v>-3.6030319999999998E-2</v>
      </c>
      <c r="Q35">
        <v>3.6030319999999998E-2</v>
      </c>
      <c r="R35">
        <v>1.1975899999999999E-3</v>
      </c>
      <c r="S35">
        <v>-2</v>
      </c>
      <c r="T35">
        <v>0</v>
      </c>
      <c r="U35">
        <v>2</v>
      </c>
      <c r="V35">
        <v>7.2060650000000004E-2</v>
      </c>
      <c r="W35">
        <v>0</v>
      </c>
      <c r="X35">
        <v>0</v>
      </c>
      <c r="Y35" s="4" t="s">
        <v>75</v>
      </c>
      <c r="Z35" s="4" t="s">
        <v>114</v>
      </c>
      <c r="AA35" s="4" t="s">
        <v>75</v>
      </c>
    </row>
    <row r="36" spans="1:27" x14ac:dyDescent="0.25">
      <c r="A36">
        <v>1</v>
      </c>
      <c r="B36">
        <v>0.17499999999999999</v>
      </c>
      <c r="C36">
        <v>35</v>
      </c>
      <c r="D36">
        <v>0.4083</v>
      </c>
      <c r="E36">
        <v>0</v>
      </c>
      <c r="F36">
        <v>0.17617142</v>
      </c>
      <c r="G36">
        <v>0.40825776000000003</v>
      </c>
      <c r="H36">
        <v>1</v>
      </c>
      <c r="I36">
        <v>0</v>
      </c>
      <c r="J36">
        <v>6.2831999999999999</v>
      </c>
      <c r="K36">
        <v>0</v>
      </c>
      <c r="L36">
        <v>0</v>
      </c>
      <c r="M36">
        <v>0</v>
      </c>
      <c r="N36">
        <v>0</v>
      </c>
      <c r="O36" s="2">
        <v>0.59174223999999997</v>
      </c>
      <c r="P36">
        <v>-3.4591179999999999E-2</v>
      </c>
      <c r="Q36">
        <v>3.4591179999999999E-2</v>
      </c>
      <c r="R36">
        <v>1.4391499999999999E-3</v>
      </c>
      <c r="S36">
        <v>-2</v>
      </c>
      <c r="T36">
        <v>0</v>
      </c>
      <c r="U36">
        <v>2</v>
      </c>
      <c r="V36">
        <v>6.9182350000000004E-2</v>
      </c>
      <c r="W36">
        <v>0</v>
      </c>
      <c r="X36">
        <v>0</v>
      </c>
      <c r="Y36" s="4" t="s">
        <v>77</v>
      </c>
      <c r="Z36" s="4" t="s">
        <v>114</v>
      </c>
      <c r="AA36" s="4" t="s">
        <v>77</v>
      </c>
    </row>
    <row r="37" spans="1:27" x14ac:dyDescent="0.25">
      <c r="A37">
        <v>1</v>
      </c>
      <c r="B37">
        <v>0.18</v>
      </c>
      <c r="C37">
        <v>36</v>
      </c>
      <c r="D37">
        <v>0.47739999999999999</v>
      </c>
      <c r="E37">
        <v>0</v>
      </c>
      <c r="F37">
        <v>0.16770959999999999</v>
      </c>
      <c r="G37">
        <v>0.47744012000000002</v>
      </c>
      <c r="H37">
        <v>1</v>
      </c>
      <c r="I37">
        <v>0</v>
      </c>
      <c r="J37">
        <v>6.2831999999999999</v>
      </c>
      <c r="K37">
        <v>0</v>
      </c>
      <c r="L37">
        <v>0</v>
      </c>
      <c r="M37">
        <v>0</v>
      </c>
      <c r="N37">
        <v>0</v>
      </c>
      <c r="O37" s="2">
        <v>0.52255987999999998</v>
      </c>
      <c r="P37">
        <v>-3.2929699999999999E-2</v>
      </c>
      <c r="Q37">
        <v>3.2929699999999999E-2</v>
      </c>
      <c r="R37">
        <v>1.66147E-3</v>
      </c>
      <c r="S37">
        <v>-2</v>
      </c>
      <c r="T37">
        <v>0</v>
      </c>
      <c r="U37">
        <v>2</v>
      </c>
      <c r="V37">
        <v>6.5859409999999993E-2</v>
      </c>
      <c r="W37">
        <v>0</v>
      </c>
      <c r="X37">
        <v>0</v>
      </c>
      <c r="Y37" s="4" t="s">
        <v>79</v>
      </c>
      <c r="Z37" s="4" t="s">
        <v>114</v>
      </c>
      <c r="AA37" s="4" t="s">
        <v>79</v>
      </c>
    </row>
    <row r="38" spans="1:27" x14ac:dyDescent="0.25">
      <c r="A38">
        <v>1</v>
      </c>
      <c r="B38">
        <v>0.185</v>
      </c>
      <c r="C38">
        <v>37</v>
      </c>
      <c r="D38">
        <v>0.54330000000000001</v>
      </c>
      <c r="E38">
        <v>0</v>
      </c>
      <c r="F38">
        <v>0.15822844999999999</v>
      </c>
      <c r="G38">
        <v>0.54329952000000004</v>
      </c>
      <c r="H38">
        <v>1</v>
      </c>
      <c r="I38">
        <v>0</v>
      </c>
      <c r="J38">
        <v>6.2831999999999999</v>
      </c>
      <c r="K38">
        <v>0</v>
      </c>
      <c r="L38">
        <v>0</v>
      </c>
      <c r="M38">
        <v>0</v>
      </c>
      <c r="N38">
        <v>0</v>
      </c>
      <c r="O38" s="2">
        <v>0.45670048000000002</v>
      </c>
      <c r="P38">
        <v>-3.1068080000000001E-2</v>
      </c>
      <c r="Q38">
        <v>3.1068080000000001E-2</v>
      </c>
      <c r="R38">
        <v>1.86162E-3</v>
      </c>
      <c r="S38">
        <v>-2</v>
      </c>
      <c r="T38">
        <v>0</v>
      </c>
      <c r="U38">
        <v>2</v>
      </c>
      <c r="V38">
        <v>6.2136169999999998E-2</v>
      </c>
      <c r="W38">
        <v>0</v>
      </c>
      <c r="X38">
        <v>0</v>
      </c>
      <c r="Y38" s="4" t="s">
        <v>81</v>
      </c>
      <c r="Z38" s="4" t="s">
        <v>114</v>
      </c>
      <c r="AA38" s="4" t="s">
        <v>81</v>
      </c>
    </row>
    <row r="39" spans="1:27" x14ac:dyDescent="0.25">
      <c r="A39">
        <v>1</v>
      </c>
      <c r="B39">
        <v>0.19</v>
      </c>
      <c r="C39">
        <v>38</v>
      </c>
      <c r="D39">
        <v>0.60540000000000005</v>
      </c>
      <c r="E39">
        <v>0</v>
      </c>
      <c r="F39">
        <v>0.14785445</v>
      </c>
      <c r="G39">
        <v>0.60543568999999997</v>
      </c>
      <c r="H39">
        <v>1</v>
      </c>
      <c r="I39">
        <v>0</v>
      </c>
      <c r="J39">
        <v>6.2831999999999999</v>
      </c>
      <c r="K39">
        <v>0</v>
      </c>
      <c r="L39">
        <v>0</v>
      </c>
      <c r="M39">
        <v>0</v>
      </c>
      <c r="N39">
        <v>0</v>
      </c>
      <c r="O39" s="2">
        <v>0.39456430999999997</v>
      </c>
      <c r="P39">
        <v>-2.9031149999999999E-2</v>
      </c>
      <c r="Q39">
        <v>2.9031149999999999E-2</v>
      </c>
      <c r="R39">
        <v>2.0369300000000002E-3</v>
      </c>
      <c r="S39">
        <v>-2</v>
      </c>
      <c r="T39">
        <v>0</v>
      </c>
      <c r="U39">
        <v>2</v>
      </c>
      <c r="V39">
        <v>5.8062309999999999E-2</v>
      </c>
      <c r="W39">
        <v>0</v>
      </c>
      <c r="X39">
        <v>0</v>
      </c>
      <c r="Y39" s="4" t="s">
        <v>83</v>
      </c>
      <c r="Z39" s="4" t="s">
        <v>114</v>
      </c>
      <c r="AA39" s="4" t="s">
        <v>83</v>
      </c>
    </row>
    <row r="40" spans="1:27" x14ac:dyDescent="0.25">
      <c r="A40">
        <v>1</v>
      </c>
      <c r="B40">
        <v>0.19500000000000001</v>
      </c>
      <c r="C40">
        <v>39</v>
      </c>
      <c r="D40">
        <v>0.66349999999999998</v>
      </c>
      <c r="E40">
        <v>0</v>
      </c>
      <c r="F40">
        <v>0.13672591000000001</v>
      </c>
      <c r="G40">
        <v>0.66349800000000003</v>
      </c>
      <c r="H40">
        <v>1</v>
      </c>
      <c r="I40">
        <v>0</v>
      </c>
      <c r="J40">
        <v>6.2831999999999999</v>
      </c>
      <c r="K40">
        <v>0</v>
      </c>
      <c r="L40">
        <v>0</v>
      </c>
      <c r="M40">
        <v>0</v>
      </c>
      <c r="N40">
        <v>0</v>
      </c>
      <c r="O40" s="2">
        <v>0.33650200000000002</v>
      </c>
      <c r="P40">
        <v>-2.684607E-2</v>
      </c>
      <c r="Q40">
        <v>2.684607E-2</v>
      </c>
      <c r="R40">
        <v>2.1850799999999998E-3</v>
      </c>
      <c r="S40">
        <v>-2</v>
      </c>
      <c r="T40">
        <v>0</v>
      </c>
      <c r="U40">
        <v>2</v>
      </c>
      <c r="V40">
        <v>5.3692139999999999E-2</v>
      </c>
      <c r="W40">
        <v>0</v>
      </c>
      <c r="X40">
        <v>0</v>
      </c>
      <c r="Y40" s="4" t="s">
        <v>85</v>
      </c>
      <c r="Z40" s="4" t="s">
        <v>114</v>
      </c>
      <c r="AA40" s="4" t="s">
        <v>85</v>
      </c>
    </row>
    <row r="41" spans="1:27" x14ac:dyDescent="0.25">
      <c r="A41">
        <v>1</v>
      </c>
      <c r="B41">
        <v>0.2</v>
      </c>
      <c r="C41">
        <v>40</v>
      </c>
      <c r="D41">
        <v>0.71719999999999995</v>
      </c>
      <c r="E41">
        <v>0</v>
      </c>
      <c r="F41">
        <v>0.12499122</v>
      </c>
      <c r="G41">
        <v>0.71719012999999998</v>
      </c>
      <c r="H41">
        <v>1</v>
      </c>
      <c r="I41">
        <v>0</v>
      </c>
      <c r="J41">
        <v>6.2831999999999999</v>
      </c>
      <c r="K41">
        <v>0</v>
      </c>
      <c r="L41">
        <v>0</v>
      </c>
      <c r="M41">
        <v>0</v>
      </c>
      <c r="N41">
        <v>0</v>
      </c>
      <c r="O41" s="2">
        <v>0.28280987000000002</v>
      </c>
      <c r="P41">
        <v>-2.454197E-2</v>
      </c>
      <c r="Q41">
        <v>2.454197E-2</v>
      </c>
      <c r="R41">
        <v>2.3040999999999999E-3</v>
      </c>
      <c r="S41">
        <v>-2</v>
      </c>
      <c r="T41">
        <v>0</v>
      </c>
      <c r="U41">
        <v>2</v>
      </c>
      <c r="V41">
        <v>4.908394E-2</v>
      </c>
      <c r="W41">
        <v>0</v>
      </c>
      <c r="X41">
        <v>0</v>
      </c>
      <c r="Y41" s="4" t="s">
        <v>87</v>
      </c>
      <c r="Z41" s="4" t="s">
        <v>114</v>
      </c>
      <c r="AA41" s="4" t="s">
        <v>87</v>
      </c>
    </row>
    <row r="42" spans="1:27" x14ac:dyDescent="0.25">
      <c r="A42">
        <v>1</v>
      </c>
      <c r="B42">
        <v>0.20499999999999999</v>
      </c>
      <c r="C42">
        <v>41</v>
      </c>
      <c r="D42">
        <v>0.76629999999999998</v>
      </c>
      <c r="E42">
        <v>0</v>
      </c>
      <c r="F42">
        <v>0.11280707</v>
      </c>
      <c r="G42">
        <v>0.76627407000000003</v>
      </c>
      <c r="H42">
        <v>1</v>
      </c>
      <c r="I42">
        <v>0</v>
      </c>
      <c r="J42">
        <v>6.2831999999999999</v>
      </c>
      <c r="K42">
        <v>0</v>
      </c>
      <c r="L42">
        <v>0</v>
      </c>
      <c r="M42">
        <v>0</v>
      </c>
      <c r="N42">
        <v>0</v>
      </c>
      <c r="O42" s="2">
        <v>0.23372593</v>
      </c>
      <c r="P42">
        <v>-2.2149619999999998E-2</v>
      </c>
      <c r="Q42">
        <v>2.2149619999999998E-2</v>
      </c>
      <c r="R42">
        <v>2.3923500000000001E-3</v>
      </c>
      <c r="S42">
        <v>-2</v>
      </c>
      <c r="T42">
        <v>0</v>
      </c>
      <c r="U42">
        <v>2</v>
      </c>
      <c r="V42">
        <v>4.4299230000000002E-2</v>
      </c>
      <c r="W42">
        <v>0</v>
      </c>
      <c r="X42">
        <v>0</v>
      </c>
      <c r="Y42" s="4" t="s">
        <v>89</v>
      </c>
      <c r="Z42" s="4" t="s">
        <v>114</v>
      </c>
      <c r="AA42" s="4" t="s">
        <v>89</v>
      </c>
    </row>
    <row r="43" spans="1:27" x14ac:dyDescent="0.25">
      <c r="A43">
        <v>1</v>
      </c>
      <c r="B43">
        <v>0.21</v>
      </c>
      <c r="C43">
        <v>42</v>
      </c>
      <c r="D43">
        <v>0.81059999999999999</v>
      </c>
      <c r="E43">
        <v>0</v>
      </c>
      <c r="F43">
        <v>0.10033673999999999</v>
      </c>
      <c r="G43">
        <v>0.81057330999999999</v>
      </c>
      <c r="H43">
        <v>1</v>
      </c>
      <c r="I43">
        <v>0</v>
      </c>
      <c r="J43">
        <v>6.2831999999999999</v>
      </c>
      <c r="K43">
        <v>0</v>
      </c>
      <c r="L43">
        <v>0</v>
      </c>
      <c r="M43">
        <v>0</v>
      </c>
      <c r="N43">
        <v>0</v>
      </c>
      <c r="O43" s="2">
        <v>0.18942669000000001</v>
      </c>
      <c r="P43">
        <v>-1.9701070000000001E-2</v>
      </c>
      <c r="Q43">
        <v>1.9701070000000001E-2</v>
      </c>
      <c r="R43">
        <v>2.4485399999999999E-3</v>
      </c>
      <c r="S43">
        <v>-2</v>
      </c>
      <c r="T43">
        <v>0</v>
      </c>
      <c r="U43">
        <v>2</v>
      </c>
      <c r="V43">
        <v>3.9402140000000002E-2</v>
      </c>
      <c r="W43">
        <v>0</v>
      </c>
      <c r="X43">
        <v>0</v>
      </c>
      <c r="Y43" s="4" t="s">
        <v>91</v>
      </c>
      <c r="Z43" s="4" t="s">
        <v>114</v>
      </c>
      <c r="AA43" s="4" t="s">
        <v>91</v>
      </c>
    </row>
    <row r="44" spans="1:27" x14ac:dyDescent="0.25">
      <c r="A44">
        <v>1</v>
      </c>
      <c r="B44">
        <v>0.215</v>
      </c>
      <c r="C44">
        <v>43</v>
      </c>
      <c r="D44">
        <v>0.85</v>
      </c>
      <c r="E44">
        <v>0</v>
      </c>
      <c r="F44">
        <v>8.7748519999999997E-2</v>
      </c>
      <c r="G44">
        <v>0.84997544999999997</v>
      </c>
      <c r="H44">
        <v>1</v>
      </c>
      <c r="I44">
        <v>0</v>
      </c>
      <c r="J44">
        <v>6.2831999999999999</v>
      </c>
      <c r="K44">
        <v>0</v>
      </c>
      <c r="L44">
        <v>0</v>
      </c>
      <c r="M44">
        <v>0</v>
      </c>
      <c r="N44">
        <v>0</v>
      </c>
      <c r="O44" s="2">
        <v>0.15002455000000001</v>
      </c>
      <c r="P44">
        <v>-1.7229379999999999E-2</v>
      </c>
      <c r="Q44">
        <v>1.7229379999999999E-2</v>
      </c>
      <c r="R44">
        <v>2.4716899999999999E-3</v>
      </c>
      <c r="S44">
        <v>-2</v>
      </c>
      <c r="T44">
        <v>0</v>
      </c>
      <c r="U44">
        <v>2</v>
      </c>
      <c r="V44">
        <v>3.4458759999999998E-2</v>
      </c>
      <c r="W44">
        <v>0</v>
      </c>
      <c r="X44">
        <v>0</v>
      </c>
      <c r="Y44" s="4" t="s">
        <v>93</v>
      </c>
      <c r="Z44" s="4" t="s">
        <v>114</v>
      </c>
      <c r="AA44" s="4" t="s">
        <v>93</v>
      </c>
    </row>
    <row r="45" spans="1:27" x14ac:dyDescent="0.25">
      <c r="A45">
        <v>1</v>
      </c>
      <c r="B45">
        <v>0.22</v>
      </c>
      <c r="C45">
        <v>44</v>
      </c>
      <c r="D45">
        <v>0.88439999999999996</v>
      </c>
      <c r="E45">
        <v>0</v>
      </c>
      <c r="F45">
        <v>7.5214539999999996E-2</v>
      </c>
      <c r="G45">
        <v>0.88443421</v>
      </c>
      <c r="H45">
        <v>1</v>
      </c>
      <c r="I45">
        <v>0</v>
      </c>
      <c r="J45">
        <v>6.2831999999999999</v>
      </c>
      <c r="K45">
        <v>0</v>
      </c>
      <c r="L45">
        <v>0</v>
      </c>
      <c r="M45">
        <v>0</v>
      </c>
      <c r="N45">
        <v>0</v>
      </c>
      <c r="O45" s="2">
        <v>0.11556579</v>
      </c>
      <c r="P45">
        <v>-1.476834E-2</v>
      </c>
      <c r="Q45">
        <v>1.476834E-2</v>
      </c>
      <c r="R45">
        <v>2.4610399999999998E-3</v>
      </c>
      <c r="S45">
        <v>-2</v>
      </c>
      <c r="T45">
        <v>0</v>
      </c>
      <c r="U45">
        <v>2</v>
      </c>
      <c r="V45">
        <v>2.9536679999999999E-2</v>
      </c>
      <c r="W45">
        <v>0</v>
      </c>
      <c r="X45">
        <v>0</v>
      </c>
      <c r="Y45" s="4" t="s">
        <v>95</v>
      </c>
      <c r="Z45" s="4" t="s">
        <v>114</v>
      </c>
      <c r="AA45" s="4" t="s">
        <v>95</v>
      </c>
    </row>
    <row r="46" spans="1:27" x14ac:dyDescent="0.25">
      <c r="A46">
        <v>1</v>
      </c>
      <c r="B46">
        <v>0.22500000000000001</v>
      </c>
      <c r="C46">
        <v>45</v>
      </c>
      <c r="D46">
        <v>0.91400000000000003</v>
      </c>
      <c r="E46">
        <v>0</v>
      </c>
      <c r="F46">
        <v>6.291012E-2</v>
      </c>
      <c r="G46">
        <v>0.91397090000000003</v>
      </c>
      <c r="H46">
        <v>1</v>
      </c>
      <c r="I46">
        <v>0</v>
      </c>
      <c r="J46">
        <v>6.2831999999999999</v>
      </c>
      <c r="K46">
        <v>0</v>
      </c>
      <c r="L46">
        <v>0</v>
      </c>
      <c r="M46">
        <v>0</v>
      </c>
      <c r="N46">
        <v>0</v>
      </c>
      <c r="O46" s="2">
        <v>8.6029099999999997E-2</v>
      </c>
      <c r="P46">
        <v>-1.235237E-2</v>
      </c>
      <c r="Q46">
        <v>1.235237E-2</v>
      </c>
      <c r="R46">
        <v>2.4159699999999999E-3</v>
      </c>
      <c r="S46">
        <v>-2</v>
      </c>
      <c r="T46">
        <v>0</v>
      </c>
      <c r="U46">
        <v>2</v>
      </c>
      <c r="V46">
        <v>2.4704750000000001E-2</v>
      </c>
      <c r="W46">
        <v>0</v>
      </c>
      <c r="X46">
        <v>0</v>
      </c>
      <c r="Y46" s="4" t="s">
        <v>97</v>
      </c>
      <c r="Z46" s="4" t="s">
        <v>114</v>
      </c>
      <c r="AA46" s="4" t="s">
        <v>97</v>
      </c>
    </row>
    <row r="47" spans="1:27" x14ac:dyDescent="0.25">
      <c r="A47">
        <v>1</v>
      </c>
      <c r="B47">
        <v>0.23</v>
      </c>
      <c r="C47">
        <v>46</v>
      </c>
      <c r="D47">
        <v>0.93869999999999998</v>
      </c>
      <c r="E47">
        <v>0</v>
      </c>
      <c r="F47">
        <v>5.1013969999999999E-2</v>
      </c>
      <c r="G47">
        <v>0.93867564000000003</v>
      </c>
      <c r="H47">
        <v>1</v>
      </c>
      <c r="I47">
        <v>0</v>
      </c>
      <c r="J47">
        <v>6.2831999999999999</v>
      </c>
      <c r="K47">
        <v>0</v>
      </c>
      <c r="L47">
        <v>0</v>
      </c>
      <c r="M47">
        <v>0</v>
      </c>
      <c r="N47">
        <v>0</v>
      </c>
      <c r="O47" s="2">
        <v>6.1324360000000001E-2</v>
      </c>
      <c r="P47">
        <v>-1.0016570000000001E-2</v>
      </c>
      <c r="Q47">
        <v>1.0016570000000001E-2</v>
      </c>
      <c r="R47">
        <v>2.3357999999999999E-3</v>
      </c>
      <c r="S47">
        <v>-2</v>
      </c>
      <c r="T47">
        <v>0</v>
      </c>
      <c r="U47">
        <v>2</v>
      </c>
      <c r="V47">
        <v>2.0033140000000001E-2</v>
      </c>
      <c r="W47">
        <v>0</v>
      </c>
      <c r="X47">
        <v>0</v>
      </c>
      <c r="Y47" s="4" t="s">
        <v>99</v>
      </c>
      <c r="Z47" s="4" t="s">
        <v>114</v>
      </c>
      <c r="AA47" s="4" t="s">
        <v>99</v>
      </c>
    </row>
    <row r="48" spans="1:27" x14ac:dyDescent="0.25">
      <c r="A48">
        <v>1</v>
      </c>
      <c r="B48">
        <v>0.23499999999999999</v>
      </c>
      <c r="C48">
        <v>47</v>
      </c>
      <c r="D48">
        <v>0.9587</v>
      </c>
      <c r="E48">
        <v>0</v>
      </c>
      <c r="F48">
        <v>3.9710059999999998E-2</v>
      </c>
      <c r="G48">
        <v>0.95870878000000004</v>
      </c>
      <c r="H48">
        <v>1</v>
      </c>
      <c r="I48">
        <v>0</v>
      </c>
      <c r="J48">
        <v>6.2831999999999999</v>
      </c>
      <c r="K48">
        <v>0</v>
      </c>
      <c r="L48">
        <v>0</v>
      </c>
      <c r="M48">
        <v>0</v>
      </c>
      <c r="N48">
        <v>0</v>
      </c>
      <c r="O48" s="2">
        <v>4.1291220000000003E-2</v>
      </c>
      <c r="P48">
        <v>-7.7970499999999998E-3</v>
      </c>
      <c r="Q48">
        <v>7.7970499999999998E-3</v>
      </c>
      <c r="R48">
        <v>2.21952E-3</v>
      </c>
      <c r="S48">
        <v>-2</v>
      </c>
      <c r="T48">
        <v>0</v>
      </c>
      <c r="U48">
        <v>2</v>
      </c>
      <c r="V48">
        <v>1.55941E-2</v>
      </c>
      <c r="W48">
        <v>0</v>
      </c>
      <c r="X48">
        <v>0</v>
      </c>
      <c r="Y48" s="4" t="s">
        <v>101</v>
      </c>
      <c r="Z48" s="4" t="s">
        <v>114</v>
      </c>
      <c r="AA48" s="4" t="s">
        <v>101</v>
      </c>
    </row>
    <row r="49" spans="1:27" x14ac:dyDescent="0.25">
      <c r="A49">
        <v>1</v>
      </c>
      <c r="B49">
        <v>0.24</v>
      </c>
      <c r="C49">
        <v>48</v>
      </c>
      <c r="D49">
        <v>0.97430000000000005</v>
      </c>
      <c r="E49">
        <v>0</v>
      </c>
      <c r="F49">
        <v>2.919209E-2</v>
      </c>
      <c r="G49">
        <v>0.97430289000000003</v>
      </c>
      <c r="H49">
        <v>1</v>
      </c>
      <c r="I49">
        <v>0</v>
      </c>
      <c r="J49">
        <v>6.2831999999999999</v>
      </c>
      <c r="K49">
        <v>0</v>
      </c>
      <c r="L49">
        <v>0</v>
      </c>
      <c r="M49">
        <v>0</v>
      </c>
      <c r="N49">
        <v>0</v>
      </c>
      <c r="O49" s="2">
        <v>2.5697109999999999E-2</v>
      </c>
      <c r="P49">
        <v>-5.7318500000000001E-3</v>
      </c>
      <c r="Q49">
        <v>5.7318500000000001E-3</v>
      </c>
      <c r="R49">
        <v>2.0652000000000001E-3</v>
      </c>
      <c r="S49">
        <v>-2</v>
      </c>
      <c r="T49">
        <v>0</v>
      </c>
      <c r="U49">
        <v>2</v>
      </c>
      <c r="V49">
        <v>1.146371E-2</v>
      </c>
      <c r="W49">
        <v>0</v>
      </c>
      <c r="X49">
        <v>0</v>
      </c>
      <c r="Y49" s="4" t="s">
        <v>103</v>
      </c>
      <c r="Z49" s="4" t="s">
        <v>114</v>
      </c>
      <c r="AA49" s="4" t="s">
        <v>103</v>
      </c>
    </row>
    <row r="50" spans="1:27" x14ac:dyDescent="0.25">
      <c r="A50">
        <v>1</v>
      </c>
      <c r="B50">
        <v>0.245</v>
      </c>
      <c r="C50">
        <v>49</v>
      </c>
      <c r="D50">
        <v>0.98580000000000001</v>
      </c>
      <c r="E50">
        <v>0</v>
      </c>
      <c r="F50">
        <v>1.967352E-2</v>
      </c>
      <c r="G50">
        <v>0.98576659</v>
      </c>
      <c r="H50">
        <v>1</v>
      </c>
      <c r="I50">
        <v>0</v>
      </c>
      <c r="J50">
        <v>6.2831999999999999</v>
      </c>
      <c r="K50">
        <v>0</v>
      </c>
      <c r="L50">
        <v>0</v>
      </c>
      <c r="M50">
        <v>0</v>
      </c>
      <c r="N50">
        <v>0</v>
      </c>
      <c r="O50" s="2">
        <v>1.423341E-2</v>
      </c>
      <c r="P50">
        <v>-3.8628899999999999E-3</v>
      </c>
      <c r="Q50">
        <v>3.8628899999999999E-3</v>
      </c>
      <c r="R50">
        <v>1.86897E-3</v>
      </c>
      <c r="S50">
        <v>-2</v>
      </c>
      <c r="T50">
        <v>0</v>
      </c>
      <c r="U50">
        <v>2</v>
      </c>
      <c r="V50">
        <v>7.7257699999999999E-3</v>
      </c>
      <c r="W50">
        <v>0</v>
      </c>
      <c r="X50">
        <v>0</v>
      </c>
      <c r="Y50" s="4" t="s">
        <v>105</v>
      </c>
      <c r="Z50" s="4" t="s">
        <v>114</v>
      </c>
      <c r="AA50" s="4" t="s">
        <v>105</v>
      </c>
    </row>
    <row r="51" spans="1:27" x14ac:dyDescent="0.25">
      <c r="A51">
        <v>1</v>
      </c>
      <c r="B51">
        <v>0.25</v>
      </c>
      <c r="C51">
        <v>50</v>
      </c>
      <c r="D51">
        <v>0.99350000000000005</v>
      </c>
      <c r="E51">
        <v>0</v>
      </c>
      <c r="F51">
        <v>1.1410119999999999E-2</v>
      </c>
      <c r="G51">
        <v>0.99349237000000001</v>
      </c>
      <c r="H51">
        <v>1</v>
      </c>
      <c r="I51">
        <v>0</v>
      </c>
      <c r="J51">
        <v>6.2831999999999999</v>
      </c>
      <c r="K51">
        <v>0</v>
      </c>
      <c r="L51">
        <v>0</v>
      </c>
      <c r="M51">
        <v>0</v>
      </c>
      <c r="N51">
        <v>0</v>
      </c>
      <c r="O51" s="2">
        <v>6.5076300000000004E-3</v>
      </c>
      <c r="P51">
        <v>-2.2403700000000002E-3</v>
      </c>
      <c r="Q51">
        <v>2.2403700000000002E-3</v>
      </c>
      <c r="R51">
        <v>1.62251E-3</v>
      </c>
      <c r="S51">
        <v>-2</v>
      </c>
      <c r="T51">
        <v>0</v>
      </c>
      <c r="U51">
        <v>2</v>
      </c>
      <c r="V51">
        <v>4.4807400000000004E-3</v>
      </c>
      <c r="W51">
        <v>0</v>
      </c>
      <c r="X51">
        <v>0</v>
      </c>
      <c r="Y51" s="4" t="s">
        <v>107</v>
      </c>
      <c r="Z51" s="4" t="s">
        <v>114</v>
      </c>
      <c r="AA51" s="4" t="s">
        <v>107</v>
      </c>
    </row>
    <row r="52" spans="1:27" x14ac:dyDescent="0.25">
      <c r="A52">
        <v>1</v>
      </c>
      <c r="B52">
        <v>0.255</v>
      </c>
      <c r="C52">
        <v>51</v>
      </c>
      <c r="D52">
        <v>0.998</v>
      </c>
      <c r="E52">
        <v>0</v>
      </c>
      <c r="F52">
        <v>4.7602E-3</v>
      </c>
      <c r="G52">
        <v>0.99797311</v>
      </c>
      <c r="H52">
        <v>1</v>
      </c>
      <c r="I52">
        <v>0</v>
      </c>
      <c r="J52">
        <v>6.2831999999999999</v>
      </c>
      <c r="K52">
        <v>0</v>
      </c>
      <c r="L52">
        <v>0</v>
      </c>
      <c r="M52">
        <v>0</v>
      </c>
      <c r="N52">
        <v>0</v>
      </c>
      <c r="O52" s="2">
        <v>2.0268899999999999E-3</v>
      </c>
      <c r="P52">
        <v>-9.3466000000000003E-4</v>
      </c>
      <c r="Q52">
        <v>9.3466000000000003E-4</v>
      </c>
      <c r="R52">
        <v>1.3057100000000001E-3</v>
      </c>
      <c r="S52">
        <v>-2</v>
      </c>
      <c r="T52">
        <v>0</v>
      </c>
      <c r="U52">
        <v>2</v>
      </c>
      <c r="V52">
        <v>1.8693200000000001E-3</v>
      </c>
      <c r="W52">
        <v>0</v>
      </c>
      <c r="X52">
        <v>0</v>
      </c>
      <c r="Y52" s="4" t="s">
        <v>109</v>
      </c>
      <c r="Z52" s="4" t="s">
        <v>114</v>
      </c>
      <c r="AA52" s="4" t="s">
        <v>109</v>
      </c>
    </row>
    <row r="53" spans="1:27" x14ac:dyDescent="0.25">
      <c r="A53">
        <v>1</v>
      </c>
      <c r="B53">
        <v>0.26</v>
      </c>
      <c r="C53">
        <v>52</v>
      </c>
      <c r="D53">
        <v>0.99980000000000002</v>
      </c>
      <c r="E53">
        <v>0</v>
      </c>
      <c r="F53">
        <v>4.3938000000000001E-4</v>
      </c>
      <c r="G53">
        <v>0.99984242999999995</v>
      </c>
      <c r="H53">
        <v>1</v>
      </c>
      <c r="I53">
        <v>0</v>
      </c>
      <c r="J53">
        <v>6.2831999999999999</v>
      </c>
      <c r="K53">
        <v>0</v>
      </c>
      <c r="L53">
        <v>0</v>
      </c>
      <c r="M53">
        <v>0</v>
      </c>
      <c r="N53">
        <v>0</v>
      </c>
      <c r="O53" s="2">
        <v>1.5757E-4</v>
      </c>
      <c r="P53">
        <v>-8.6269999999999999E-5</v>
      </c>
      <c r="Q53">
        <v>8.6269999999999999E-5</v>
      </c>
      <c r="R53">
        <v>8.4838999999999997E-4</v>
      </c>
      <c r="S53">
        <v>-2</v>
      </c>
      <c r="T53">
        <v>0</v>
      </c>
      <c r="U53">
        <v>2</v>
      </c>
      <c r="V53">
        <v>1.7254E-4</v>
      </c>
      <c r="W53">
        <v>0</v>
      </c>
      <c r="X53">
        <v>0</v>
      </c>
      <c r="Y53" s="4" t="s">
        <v>111</v>
      </c>
      <c r="Z53" s="4" t="s">
        <v>114</v>
      </c>
      <c r="AA53" s="4" t="s">
        <v>111</v>
      </c>
    </row>
    <row r="54" spans="1:27" x14ac:dyDescent="0.25">
      <c r="A54">
        <v>1</v>
      </c>
      <c r="B54">
        <v>0.26500000000000001</v>
      </c>
      <c r="C54">
        <v>53</v>
      </c>
      <c r="D54">
        <v>1</v>
      </c>
      <c r="E54">
        <v>0</v>
      </c>
      <c r="F54">
        <v>0</v>
      </c>
      <c r="G54">
        <v>1.00001498</v>
      </c>
      <c r="H54">
        <v>1</v>
      </c>
      <c r="I54">
        <v>0</v>
      </c>
      <c r="J54">
        <v>6.2831999999999999</v>
      </c>
      <c r="K54">
        <v>0</v>
      </c>
      <c r="L54">
        <v>0</v>
      </c>
      <c r="M54">
        <v>0</v>
      </c>
      <c r="N54">
        <v>0</v>
      </c>
      <c r="O54" s="2">
        <v>-1.4980000000000001E-5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 s="4" t="s">
        <v>42</v>
      </c>
      <c r="Z54" s="4" t="s">
        <v>42</v>
      </c>
      <c r="AA54" s="4" t="s">
        <v>42</v>
      </c>
    </row>
    <row r="55" spans="1:27" x14ac:dyDescent="0.25">
      <c r="A55">
        <v>1</v>
      </c>
      <c r="B55">
        <v>0.27</v>
      </c>
      <c r="C55">
        <v>54</v>
      </c>
      <c r="D55">
        <v>1</v>
      </c>
      <c r="E55">
        <v>0</v>
      </c>
      <c r="F55">
        <v>0</v>
      </c>
      <c r="G55">
        <v>1.00001498</v>
      </c>
      <c r="H55">
        <v>1</v>
      </c>
      <c r="I55">
        <v>0</v>
      </c>
      <c r="J55">
        <v>6.2831999999999999</v>
      </c>
      <c r="K55">
        <v>0</v>
      </c>
      <c r="L55">
        <v>0</v>
      </c>
      <c r="M55">
        <v>0</v>
      </c>
      <c r="N55">
        <v>0</v>
      </c>
      <c r="O55" s="2">
        <v>-1.4980000000000001E-5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 s="4" t="s">
        <v>42</v>
      </c>
      <c r="Z55" s="4" t="s">
        <v>42</v>
      </c>
      <c r="AA55" s="4" t="s">
        <v>42</v>
      </c>
    </row>
    <row r="56" spans="1:27" x14ac:dyDescent="0.25">
      <c r="A56">
        <v>1</v>
      </c>
      <c r="B56">
        <v>0.27500000000000002</v>
      </c>
      <c r="C56">
        <v>55</v>
      </c>
      <c r="D56">
        <v>1</v>
      </c>
      <c r="E56">
        <v>0</v>
      </c>
      <c r="F56">
        <v>0</v>
      </c>
      <c r="G56">
        <v>1.00001498</v>
      </c>
      <c r="H56">
        <v>1</v>
      </c>
      <c r="I56">
        <v>0</v>
      </c>
      <c r="J56">
        <v>6.2831999999999999</v>
      </c>
      <c r="K56">
        <v>0</v>
      </c>
      <c r="L56">
        <v>0</v>
      </c>
      <c r="M56">
        <v>0</v>
      </c>
      <c r="N56">
        <v>0</v>
      </c>
      <c r="O56" s="2">
        <v>-1.4980000000000001E-5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 s="4" t="s">
        <v>42</v>
      </c>
      <c r="Z56" s="4" t="s">
        <v>42</v>
      </c>
      <c r="AA56" s="4" t="s">
        <v>42</v>
      </c>
    </row>
    <row r="57" spans="1:27" x14ac:dyDescent="0.25">
      <c r="A57">
        <v>1</v>
      </c>
      <c r="B57">
        <v>0.28000000000000003</v>
      </c>
      <c r="C57">
        <v>56</v>
      </c>
      <c r="D57">
        <v>1</v>
      </c>
      <c r="E57">
        <v>0</v>
      </c>
      <c r="F57">
        <v>0</v>
      </c>
      <c r="G57">
        <v>1.00001498</v>
      </c>
      <c r="H57">
        <v>1</v>
      </c>
      <c r="I57">
        <v>0</v>
      </c>
      <c r="J57">
        <v>6.2831999999999999</v>
      </c>
      <c r="K57">
        <v>0</v>
      </c>
      <c r="L57">
        <v>0</v>
      </c>
      <c r="M57">
        <v>0</v>
      </c>
      <c r="N57">
        <v>0</v>
      </c>
      <c r="O57" s="2">
        <v>-1.4980000000000001E-5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 s="4" t="s">
        <v>42</v>
      </c>
      <c r="Z57" s="4" t="s">
        <v>42</v>
      </c>
      <c r="AA57" s="4" t="s">
        <v>42</v>
      </c>
    </row>
    <row r="58" spans="1:27" x14ac:dyDescent="0.25">
      <c r="A58">
        <v>1</v>
      </c>
      <c r="B58">
        <v>0.28499999999999998</v>
      </c>
      <c r="C58">
        <v>57</v>
      </c>
      <c r="D58">
        <v>1</v>
      </c>
      <c r="E58">
        <v>0</v>
      </c>
      <c r="F58">
        <v>0</v>
      </c>
      <c r="G58">
        <v>1.00001498</v>
      </c>
      <c r="H58">
        <v>1</v>
      </c>
      <c r="I58">
        <v>0</v>
      </c>
      <c r="J58">
        <v>6.2831999999999999</v>
      </c>
      <c r="K58">
        <v>0</v>
      </c>
      <c r="L58">
        <v>0</v>
      </c>
      <c r="M58">
        <v>0</v>
      </c>
      <c r="N58">
        <v>0</v>
      </c>
      <c r="O58" s="2">
        <v>-1.4980000000000001E-5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 s="4" t="s">
        <v>42</v>
      </c>
      <c r="Z58" s="4" t="s">
        <v>42</v>
      </c>
      <c r="AA58" s="4" t="s">
        <v>42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22FC50-CD0A-44E8-A11A-5579EA7E8523}">
  <dimension ref="A1:J49"/>
  <sheetViews>
    <sheetView tabSelected="1" zoomScale="145" zoomScaleNormal="145" workbookViewId="0">
      <selection activeCell="B4" sqref="B4"/>
    </sheetView>
  </sheetViews>
  <sheetFormatPr defaultRowHeight="15" x14ac:dyDescent="0.25"/>
  <cols>
    <col min="1" max="1" width="17.42578125" customWidth="1"/>
    <col min="2" max="2" width="14" style="2" customWidth="1"/>
    <col min="3" max="3" width="14.140625" customWidth="1"/>
    <col min="4" max="4" width="15" customWidth="1"/>
    <col min="6" max="6" width="22.140625" customWidth="1"/>
  </cols>
  <sheetData>
    <row r="1" spans="1:10" x14ac:dyDescent="0.25">
      <c r="A1" t="s">
        <v>23</v>
      </c>
      <c r="B1" s="2" t="s">
        <v>20</v>
      </c>
      <c r="C1" t="s">
        <v>21</v>
      </c>
      <c r="D1" t="s">
        <v>22</v>
      </c>
      <c r="G1" t="s">
        <v>28</v>
      </c>
      <c r="H1" s="1">
        <v>0.25</v>
      </c>
      <c r="I1" s="1"/>
    </row>
    <row r="2" spans="1:10" x14ac:dyDescent="0.25">
      <c r="A2" t="s">
        <v>19</v>
      </c>
      <c r="B2" s="2">
        <f>TwoParticleH0C0!G3</f>
        <v>1</v>
      </c>
      <c r="C2" s="2">
        <f>TwoParticleH1C0!G8</f>
        <v>1</v>
      </c>
      <c r="D2" s="2">
        <f>SUM(B2:C2)</f>
        <v>2</v>
      </c>
      <c r="E2" s="1"/>
      <c r="G2" t="s">
        <v>29</v>
      </c>
      <c r="H2" s="1">
        <f>PI()*H1^2</f>
        <v>0.19634954084936207</v>
      </c>
      <c r="I2" s="1"/>
    </row>
    <row r="3" spans="1:10" x14ac:dyDescent="0.25">
      <c r="A3" t="s">
        <v>30</v>
      </c>
      <c r="B3" s="2">
        <v>1</v>
      </c>
      <c r="C3" s="2">
        <v>1</v>
      </c>
      <c r="D3" s="2"/>
      <c r="E3" s="1"/>
      <c r="H3" s="1"/>
      <c r="I3" s="1"/>
    </row>
    <row r="4" spans="1:10" x14ac:dyDescent="0.25">
      <c r="A4" t="s">
        <v>24</v>
      </c>
      <c r="B4" s="2">
        <f>TwoParticleH1C0!G54</f>
        <v>1.00001498</v>
      </c>
      <c r="C4" s="2">
        <f>TwoParticleH0C0!G54</f>
        <v>1.00001498</v>
      </c>
      <c r="D4" s="2">
        <f>SUM(B4:C4)</f>
        <v>2.00002996</v>
      </c>
      <c r="E4" s="1"/>
      <c r="G4">
        <f>TwoParticleH0C0!L11</f>
        <v>0</v>
      </c>
      <c r="I4">
        <f>TwoParticleH1C0!L11</f>
        <v>0</v>
      </c>
    </row>
    <row r="5" spans="1:10" x14ac:dyDescent="0.25">
      <c r="A5" t="s">
        <v>25</v>
      </c>
      <c r="B5" s="2">
        <f>B3-B4</f>
        <v>-1.4979999999997773E-5</v>
      </c>
      <c r="C5" s="2">
        <f>C3-C4</f>
        <v>-1.4979999999997773E-5</v>
      </c>
      <c r="D5" s="2">
        <f>D2-D4</f>
        <v>-2.9959999999995546E-5</v>
      </c>
      <c r="E5" s="1"/>
      <c r="G5">
        <f>TwoParticleH0C0!L12</f>
        <v>0</v>
      </c>
      <c r="H5">
        <f>G4-G5</f>
        <v>0</v>
      </c>
      <c r="I5">
        <f>TwoParticleH1C0!L12</f>
        <v>0</v>
      </c>
      <c r="J5">
        <f t="shared" ref="J5:J46" si="0">I4-I5</f>
        <v>0</v>
      </c>
    </row>
    <row r="6" spans="1:10" x14ac:dyDescent="0.25">
      <c r="A6" t="s">
        <v>32</v>
      </c>
      <c r="B6" s="2">
        <f>SUM(TwoParticleH0C0!X9:X57)</f>
        <v>0</v>
      </c>
      <c r="C6" s="2">
        <f>SUM(TwoParticleH1C0!R9:R57)</f>
        <v>5.7840999999999568E-4</v>
      </c>
      <c r="D6" s="2"/>
      <c r="E6" s="1"/>
      <c r="G6">
        <f>TwoParticleH0C0!L13</f>
        <v>0</v>
      </c>
      <c r="H6">
        <f t="shared" ref="H6:H49" si="1">G5-G6</f>
        <v>0</v>
      </c>
      <c r="I6">
        <f>TwoParticleH1C0!L13</f>
        <v>0</v>
      </c>
      <c r="J6">
        <f t="shared" si="0"/>
        <v>0</v>
      </c>
    </row>
    <row r="7" spans="1:10" x14ac:dyDescent="0.25">
      <c r="A7" t="s">
        <v>36</v>
      </c>
      <c r="B7" s="2">
        <f>SUM(TwoParticleH1C0!L11:L53)</f>
        <v>0</v>
      </c>
      <c r="C7" s="2"/>
      <c r="D7" s="2"/>
      <c r="E7" s="1"/>
      <c r="G7">
        <f>TwoParticleH0C0!L14</f>
        <v>0</v>
      </c>
      <c r="H7">
        <f t="shared" si="1"/>
        <v>0</v>
      </c>
      <c r="I7">
        <f>TwoParticleH1C0!L14</f>
        <v>0</v>
      </c>
      <c r="J7">
        <f t="shared" si="0"/>
        <v>0</v>
      </c>
    </row>
    <row r="8" spans="1:10" x14ac:dyDescent="0.25">
      <c r="A8" t="s">
        <v>37</v>
      </c>
      <c r="B8" s="2">
        <f>B7*H2/2*B2</f>
        <v>0</v>
      </c>
      <c r="C8" s="2"/>
      <c r="D8" s="2"/>
      <c r="E8" s="1"/>
      <c r="G8">
        <f>TwoParticleH0C0!L15</f>
        <v>0</v>
      </c>
      <c r="H8">
        <f t="shared" si="1"/>
        <v>0</v>
      </c>
      <c r="I8">
        <f>TwoParticleH1C0!L15</f>
        <v>0</v>
      </c>
      <c r="J8">
        <f t="shared" si="0"/>
        <v>0</v>
      </c>
    </row>
    <row r="9" spans="1:10" x14ac:dyDescent="0.25">
      <c r="A9" t="s">
        <v>38</v>
      </c>
      <c r="B9" s="2">
        <f>SUM(J5:J46)*H2</f>
        <v>0</v>
      </c>
      <c r="C9" s="2">
        <f>SUM(J5:J46)*H2</f>
        <v>0</v>
      </c>
      <c r="D9" s="2"/>
      <c r="E9" s="1"/>
      <c r="G9">
        <f>TwoParticleH0C0!L16</f>
        <v>0</v>
      </c>
      <c r="H9">
        <f t="shared" si="1"/>
        <v>0</v>
      </c>
      <c r="I9">
        <f>TwoParticleH1C0!L16</f>
        <v>0</v>
      </c>
      <c r="J9">
        <f t="shared" si="0"/>
        <v>0</v>
      </c>
    </row>
    <row r="10" spans="1:10" x14ac:dyDescent="0.25">
      <c r="C10" s="2"/>
      <c r="D10" s="2"/>
      <c r="E10" s="1"/>
      <c r="G10">
        <f>TwoParticleH0C0!L17</f>
        <v>0</v>
      </c>
      <c r="H10">
        <f t="shared" si="1"/>
        <v>0</v>
      </c>
      <c r="I10">
        <f>TwoParticleH1C0!L17</f>
        <v>0</v>
      </c>
      <c r="J10">
        <f t="shared" si="0"/>
        <v>0</v>
      </c>
    </row>
    <row r="11" spans="1:10" x14ac:dyDescent="0.25">
      <c r="C11" s="2"/>
      <c r="D11" s="2"/>
      <c r="E11" s="1"/>
      <c r="G11">
        <f>TwoParticleH0C0!L18</f>
        <v>0</v>
      </c>
      <c r="H11">
        <f t="shared" si="1"/>
        <v>0</v>
      </c>
      <c r="I11">
        <f>TwoParticleH1C0!L18</f>
        <v>0</v>
      </c>
      <c r="J11">
        <f t="shared" si="0"/>
        <v>0</v>
      </c>
    </row>
    <row r="12" spans="1:10" x14ac:dyDescent="0.25">
      <c r="A12" t="s">
        <v>136</v>
      </c>
      <c r="B12" s="2">
        <v>8.62714077215567E-5</v>
      </c>
      <c r="C12" s="2"/>
      <c r="D12" s="2"/>
      <c r="E12" s="1"/>
      <c r="G12">
        <f>TwoParticleH0C0!L19</f>
        <v>0</v>
      </c>
      <c r="H12">
        <f t="shared" si="1"/>
        <v>0</v>
      </c>
      <c r="I12">
        <f>TwoParticleH1C0!L19</f>
        <v>0</v>
      </c>
      <c r="J12">
        <f t="shared" si="0"/>
        <v>0</v>
      </c>
    </row>
    <row r="13" spans="1:10" x14ac:dyDescent="0.25">
      <c r="A13" t="s">
        <v>15</v>
      </c>
      <c r="B13" s="2">
        <f>B2</f>
        <v>1</v>
      </c>
      <c r="C13" s="2"/>
      <c r="D13" s="2"/>
      <c r="E13" s="1"/>
      <c r="G13">
        <f>TwoParticleH0C0!L20</f>
        <v>0</v>
      </c>
      <c r="H13">
        <f t="shared" si="1"/>
        <v>0</v>
      </c>
      <c r="I13">
        <f>TwoParticleH1C0!L20</f>
        <v>0</v>
      </c>
      <c r="J13">
        <f t="shared" si="0"/>
        <v>0</v>
      </c>
    </row>
    <row r="14" spans="1:10" x14ac:dyDescent="0.25">
      <c r="A14" t="s">
        <v>137</v>
      </c>
      <c r="B14" s="2">
        <f>B13*B12</f>
        <v>8.62714077215567E-5</v>
      </c>
      <c r="C14" s="1"/>
      <c r="D14" s="1"/>
      <c r="E14" s="1"/>
      <c r="G14">
        <f>TwoParticleH0C0!L21</f>
        <v>0</v>
      </c>
      <c r="H14">
        <f t="shared" si="1"/>
        <v>0</v>
      </c>
      <c r="I14">
        <f>TwoParticleH1C0!L21</f>
        <v>0</v>
      </c>
      <c r="J14">
        <f t="shared" si="0"/>
        <v>0</v>
      </c>
    </row>
    <row r="15" spans="1:10" x14ac:dyDescent="0.25">
      <c r="B15" s="2">
        <f>B4-B12</f>
        <v>0.99992870859227845</v>
      </c>
      <c r="C15" s="1"/>
      <c r="D15" s="1"/>
      <c r="E15" s="1"/>
      <c r="G15">
        <f>TwoParticleH0C0!L22</f>
        <v>0</v>
      </c>
      <c r="H15">
        <f t="shared" si="1"/>
        <v>0</v>
      </c>
      <c r="I15">
        <f>TwoParticleH1C0!L22</f>
        <v>0</v>
      </c>
      <c r="J15">
        <f t="shared" si="0"/>
        <v>0</v>
      </c>
    </row>
    <row r="16" spans="1:10" x14ac:dyDescent="0.25">
      <c r="C16" s="1"/>
      <c r="D16" s="1"/>
      <c r="E16" s="1"/>
      <c r="G16">
        <f>TwoParticleH0C0!L23</f>
        <v>0</v>
      </c>
      <c r="H16">
        <f t="shared" si="1"/>
        <v>0</v>
      </c>
      <c r="I16">
        <f>TwoParticleH1C0!L23</f>
        <v>0</v>
      </c>
      <c r="J16">
        <f t="shared" si="0"/>
        <v>0</v>
      </c>
    </row>
    <row r="17" spans="3:10" x14ac:dyDescent="0.25">
      <c r="C17" s="1"/>
      <c r="D17" s="1"/>
      <c r="E17" s="1"/>
      <c r="G17">
        <f>TwoParticleH0C0!L24</f>
        <v>0</v>
      </c>
      <c r="H17">
        <f t="shared" si="1"/>
        <v>0</v>
      </c>
      <c r="I17">
        <f>TwoParticleH1C0!L24</f>
        <v>0</v>
      </c>
      <c r="J17">
        <f t="shared" si="0"/>
        <v>0</v>
      </c>
    </row>
    <row r="18" spans="3:10" x14ac:dyDescent="0.25">
      <c r="C18" s="1"/>
      <c r="D18" s="1"/>
      <c r="E18" s="1"/>
      <c r="G18">
        <f>TwoParticleH0C0!L25</f>
        <v>0</v>
      </c>
      <c r="H18">
        <f t="shared" si="1"/>
        <v>0</v>
      </c>
      <c r="I18">
        <f>TwoParticleH1C0!L25</f>
        <v>0</v>
      </c>
      <c r="J18">
        <f t="shared" si="0"/>
        <v>0</v>
      </c>
    </row>
    <row r="19" spans="3:10" x14ac:dyDescent="0.25">
      <c r="C19" s="1"/>
      <c r="D19" s="1"/>
      <c r="E19" s="1"/>
      <c r="G19">
        <f>TwoParticleH0C0!L26</f>
        <v>0</v>
      </c>
      <c r="H19">
        <f t="shared" si="1"/>
        <v>0</v>
      </c>
      <c r="I19">
        <f>TwoParticleH1C0!L26</f>
        <v>0</v>
      </c>
      <c r="J19">
        <f t="shared" si="0"/>
        <v>0</v>
      </c>
    </row>
    <row r="20" spans="3:10" x14ac:dyDescent="0.25">
      <c r="C20" s="1"/>
      <c r="D20" s="1"/>
      <c r="E20" s="1"/>
      <c r="G20">
        <f>TwoParticleH0C0!L27</f>
        <v>0</v>
      </c>
      <c r="H20">
        <f t="shared" si="1"/>
        <v>0</v>
      </c>
      <c r="I20">
        <f>TwoParticleH1C0!L27</f>
        <v>0</v>
      </c>
      <c r="J20">
        <f t="shared" si="0"/>
        <v>0</v>
      </c>
    </row>
    <row r="21" spans="3:10" x14ac:dyDescent="0.25">
      <c r="C21" s="1"/>
      <c r="D21" s="1"/>
      <c r="E21" s="1"/>
      <c r="G21">
        <f>TwoParticleH0C0!L28</f>
        <v>0</v>
      </c>
      <c r="H21">
        <f t="shared" si="1"/>
        <v>0</v>
      </c>
      <c r="I21">
        <f>TwoParticleH1C0!L28</f>
        <v>0</v>
      </c>
      <c r="J21">
        <f t="shared" si="0"/>
        <v>0</v>
      </c>
    </row>
    <row r="22" spans="3:10" x14ac:dyDescent="0.25">
      <c r="C22" s="1"/>
      <c r="D22" s="1"/>
      <c r="E22" s="1"/>
      <c r="G22">
        <f>TwoParticleH0C0!L29</f>
        <v>0</v>
      </c>
      <c r="H22">
        <f t="shared" si="1"/>
        <v>0</v>
      </c>
      <c r="I22">
        <f>TwoParticleH1C0!L29</f>
        <v>0</v>
      </c>
      <c r="J22">
        <f t="shared" si="0"/>
        <v>0</v>
      </c>
    </row>
    <row r="23" spans="3:10" x14ac:dyDescent="0.25">
      <c r="C23" s="1"/>
      <c r="D23" s="1"/>
      <c r="E23" s="1"/>
      <c r="G23">
        <f>TwoParticleH0C0!L30</f>
        <v>0</v>
      </c>
      <c r="H23">
        <f t="shared" si="1"/>
        <v>0</v>
      </c>
      <c r="I23">
        <f>TwoParticleH1C0!L30</f>
        <v>0</v>
      </c>
      <c r="J23">
        <f t="shared" si="0"/>
        <v>0</v>
      </c>
    </row>
    <row r="24" spans="3:10" x14ac:dyDescent="0.25">
      <c r="G24">
        <f>TwoParticleH0C0!L31</f>
        <v>0</v>
      </c>
      <c r="H24">
        <f t="shared" si="1"/>
        <v>0</v>
      </c>
      <c r="I24">
        <f>TwoParticleH1C0!L31</f>
        <v>0</v>
      </c>
      <c r="J24">
        <f t="shared" si="0"/>
        <v>0</v>
      </c>
    </row>
    <row r="25" spans="3:10" x14ac:dyDescent="0.25">
      <c r="G25">
        <f>TwoParticleH0C0!L32</f>
        <v>0</v>
      </c>
      <c r="H25">
        <f t="shared" si="1"/>
        <v>0</v>
      </c>
      <c r="I25">
        <f>TwoParticleH1C0!L32</f>
        <v>0</v>
      </c>
      <c r="J25">
        <f t="shared" si="0"/>
        <v>0</v>
      </c>
    </row>
    <row r="26" spans="3:10" x14ac:dyDescent="0.25">
      <c r="G26">
        <f>TwoParticleH0C0!L33</f>
        <v>0</v>
      </c>
      <c r="H26">
        <f t="shared" si="1"/>
        <v>0</v>
      </c>
      <c r="I26">
        <f>TwoParticleH1C0!L33</f>
        <v>0</v>
      </c>
      <c r="J26">
        <f t="shared" si="0"/>
        <v>0</v>
      </c>
    </row>
    <row r="27" spans="3:10" x14ac:dyDescent="0.25">
      <c r="G27">
        <f>TwoParticleH0C0!L34</f>
        <v>0</v>
      </c>
      <c r="H27">
        <f t="shared" si="1"/>
        <v>0</v>
      </c>
      <c r="I27">
        <f>TwoParticleH1C0!L34</f>
        <v>0</v>
      </c>
      <c r="J27">
        <f t="shared" si="0"/>
        <v>0</v>
      </c>
    </row>
    <row r="28" spans="3:10" x14ac:dyDescent="0.25">
      <c r="G28">
        <f>TwoParticleH0C0!L35</f>
        <v>0</v>
      </c>
      <c r="H28">
        <f t="shared" si="1"/>
        <v>0</v>
      </c>
      <c r="I28">
        <f>TwoParticleH1C0!L35</f>
        <v>0</v>
      </c>
      <c r="J28">
        <f t="shared" si="0"/>
        <v>0</v>
      </c>
    </row>
    <row r="29" spans="3:10" x14ac:dyDescent="0.25">
      <c r="G29">
        <f>TwoParticleH0C0!L36</f>
        <v>0</v>
      </c>
      <c r="H29">
        <f t="shared" si="1"/>
        <v>0</v>
      </c>
      <c r="I29">
        <f>TwoParticleH1C0!L36</f>
        <v>0</v>
      </c>
      <c r="J29">
        <f t="shared" si="0"/>
        <v>0</v>
      </c>
    </row>
    <row r="30" spans="3:10" x14ac:dyDescent="0.25">
      <c r="G30">
        <f>TwoParticleH0C0!L37</f>
        <v>0</v>
      </c>
      <c r="H30">
        <f t="shared" si="1"/>
        <v>0</v>
      </c>
      <c r="I30">
        <f>TwoParticleH1C0!L37</f>
        <v>0</v>
      </c>
      <c r="J30">
        <f t="shared" si="0"/>
        <v>0</v>
      </c>
    </row>
    <row r="31" spans="3:10" x14ac:dyDescent="0.25">
      <c r="G31">
        <f>TwoParticleH0C0!L38</f>
        <v>0</v>
      </c>
      <c r="H31">
        <f t="shared" si="1"/>
        <v>0</v>
      </c>
      <c r="I31">
        <f>TwoParticleH1C0!L38</f>
        <v>0</v>
      </c>
      <c r="J31">
        <f t="shared" si="0"/>
        <v>0</v>
      </c>
    </row>
    <row r="32" spans="3:10" x14ac:dyDescent="0.25">
      <c r="G32">
        <f>TwoParticleH0C0!L39</f>
        <v>0</v>
      </c>
      <c r="H32">
        <f t="shared" si="1"/>
        <v>0</v>
      </c>
      <c r="I32">
        <f>TwoParticleH1C0!L39</f>
        <v>0</v>
      </c>
      <c r="J32">
        <f t="shared" si="0"/>
        <v>0</v>
      </c>
    </row>
    <row r="33" spans="7:10" x14ac:dyDescent="0.25">
      <c r="G33">
        <f>TwoParticleH0C0!L40</f>
        <v>0</v>
      </c>
      <c r="H33">
        <f t="shared" si="1"/>
        <v>0</v>
      </c>
      <c r="I33">
        <f>TwoParticleH1C0!L40</f>
        <v>0</v>
      </c>
      <c r="J33">
        <f t="shared" si="0"/>
        <v>0</v>
      </c>
    </row>
    <row r="34" spans="7:10" x14ac:dyDescent="0.25">
      <c r="G34">
        <f>TwoParticleH0C0!L41</f>
        <v>0</v>
      </c>
      <c r="H34">
        <f t="shared" si="1"/>
        <v>0</v>
      </c>
      <c r="I34">
        <f>TwoParticleH1C0!L41</f>
        <v>0</v>
      </c>
      <c r="J34">
        <f t="shared" si="0"/>
        <v>0</v>
      </c>
    </row>
    <row r="35" spans="7:10" x14ac:dyDescent="0.25">
      <c r="G35">
        <f>TwoParticleH0C0!L42</f>
        <v>0</v>
      </c>
      <c r="H35">
        <f t="shared" si="1"/>
        <v>0</v>
      </c>
      <c r="I35">
        <f>TwoParticleH1C0!L42</f>
        <v>0</v>
      </c>
      <c r="J35">
        <f t="shared" si="0"/>
        <v>0</v>
      </c>
    </row>
    <row r="36" spans="7:10" x14ac:dyDescent="0.25">
      <c r="G36">
        <f>TwoParticleH0C0!L43</f>
        <v>0</v>
      </c>
      <c r="H36">
        <f t="shared" si="1"/>
        <v>0</v>
      </c>
      <c r="I36">
        <f>TwoParticleH1C0!L43</f>
        <v>0</v>
      </c>
      <c r="J36">
        <f t="shared" si="0"/>
        <v>0</v>
      </c>
    </row>
    <row r="37" spans="7:10" x14ac:dyDescent="0.25">
      <c r="G37">
        <f>TwoParticleH0C0!L44</f>
        <v>0</v>
      </c>
      <c r="H37">
        <f t="shared" si="1"/>
        <v>0</v>
      </c>
      <c r="I37">
        <f>TwoParticleH1C0!L44</f>
        <v>0</v>
      </c>
      <c r="J37">
        <f t="shared" si="0"/>
        <v>0</v>
      </c>
    </row>
    <row r="38" spans="7:10" x14ac:dyDescent="0.25">
      <c r="G38">
        <f>TwoParticleH0C0!L45</f>
        <v>0</v>
      </c>
      <c r="H38">
        <f t="shared" si="1"/>
        <v>0</v>
      </c>
      <c r="I38">
        <f>TwoParticleH1C0!L45</f>
        <v>0</v>
      </c>
      <c r="J38">
        <f t="shared" si="0"/>
        <v>0</v>
      </c>
    </row>
    <row r="39" spans="7:10" x14ac:dyDescent="0.25">
      <c r="G39">
        <f>TwoParticleH0C0!L46</f>
        <v>0</v>
      </c>
      <c r="H39">
        <f t="shared" si="1"/>
        <v>0</v>
      </c>
      <c r="I39">
        <f>TwoParticleH1C0!L46</f>
        <v>0</v>
      </c>
      <c r="J39">
        <f t="shared" si="0"/>
        <v>0</v>
      </c>
    </row>
    <row r="40" spans="7:10" x14ac:dyDescent="0.25">
      <c r="G40">
        <f>TwoParticleH0C0!L47</f>
        <v>0</v>
      </c>
      <c r="H40">
        <f t="shared" si="1"/>
        <v>0</v>
      </c>
      <c r="I40">
        <f>TwoParticleH1C0!L47</f>
        <v>0</v>
      </c>
      <c r="J40">
        <f t="shared" si="0"/>
        <v>0</v>
      </c>
    </row>
    <row r="41" spans="7:10" x14ac:dyDescent="0.25">
      <c r="G41">
        <f>TwoParticleH0C0!L48</f>
        <v>0</v>
      </c>
      <c r="H41">
        <f t="shared" si="1"/>
        <v>0</v>
      </c>
      <c r="I41">
        <f>TwoParticleH1C0!L48</f>
        <v>0</v>
      </c>
      <c r="J41">
        <f t="shared" si="0"/>
        <v>0</v>
      </c>
    </row>
    <row r="42" spans="7:10" x14ac:dyDescent="0.25">
      <c r="G42">
        <f>TwoParticleH0C0!L49</f>
        <v>0</v>
      </c>
      <c r="H42">
        <f t="shared" si="1"/>
        <v>0</v>
      </c>
      <c r="I42">
        <f>TwoParticleH1C0!L49</f>
        <v>0</v>
      </c>
      <c r="J42">
        <f t="shared" si="0"/>
        <v>0</v>
      </c>
    </row>
    <row r="43" spans="7:10" x14ac:dyDescent="0.25">
      <c r="G43">
        <f>TwoParticleH0C0!L50</f>
        <v>0</v>
      </c>
      <c r="H43">
        <f t="shared" si="1"/>
        <v>0</v>
      </c>
      <c r="I43">
        <f>TwoParticleH1C0!L50</f>
        <v>0</v>
      </c>
      <c r="J43">
        <f t="shared" si="0"/>
        <v>0</v>
      </c>
    </row>
    <row r="44" spans="7:10" x14ac:dyDescent="0.25">
      <c r="G44">
        <f>TwoParticleH0C0!L51</f>
        <v>0</v>
      </c>
      <c r="H44">
        <f t="shared" si="1"/>
        <v>0</v>
      </c>
      <c r="I44">
        <f>TwoParticleH1C0!L51</f>
        <v>0</v>
      </c>
      <c r="J44">
        <f t="shared" si="0"/>
        <v>0</v>
      </c>
    </row>
    <row r="45" spans="7:10" x14ac:dyDescent="0.25">
      <c r="G45">
        <f>TwoParticleH0C0!L52</f>
        <v>0</v>
      </c>
      <c r="H45">
        <f t="shared" si="1"/>
        <v>0</v>
      </c>
      <c r="I45">
        <f>TwoParticleH1C0!L52</f>
        <v>0</v>
      </c>
      <c r="J45">
        <f t="shared" si="0"/>
        <v>0</v>
      </c>
    </row>
    <row r="46" spans="7:10" x14ac:dyDescent="0.25">
      <c r="G46">
        <f>TwoParticleH0C0!L53</f>
        <v>0</v>
      </c>
      <c r="H46">
        <f t="shared" si="1"/>
        <v>0</v>
      </c>
      <c r="I46">
        <f>TwoParticleH1C0!L53</f>
        <v>0</v>
      </c>
      <c r="J46">
        <f t="shared" si="0"/>
        <v>0</v>
      </c>
    </row>
    <row r="47" spans="7:10" x14ac:dyDescent="0.25">
      <c r="G47">
        <f>TwoParticleH0C0!L54</f>
        <v>0</v>
      </c>
      <c r="H47">
        <f t="shared" si="1"/>
        <v>0</v>
      </c>
      <c r="I47">
        <f>TwoParticleH1C0!L54</f>
        <v>0</v>
      </c>
    </row>
    <row r="48" spans="7:10" x14ac:dyDescent="0.25">
      <c r="G48">
        <f>TwoParticleH0C0!L55</f>
        <v>0</v>
      </c>
      <c r="H48">
        <f t="shared" si="1"/>
        <v>0</v>
      </c>
      <c r="I48">
        <f>TwoParticleH1C0!L55</f>
        <v>0</v>
      </c>
    </row>
    <row r="49" spans="7:9" x14ac:dyDescent="0.25">
      <c r="G49">
        <f>TwoParticleH0C0!L56</f>
        <v>0</v>
      </c>
      <c r="H49">
        <f t="shared" si="1"/>
        <v>0</v>
      </c>
      <c r="I49">
        <f>TwoParticleH1C0!L56</f>
        <v>0</v>
      </c>
    </row>
  </sheetData>
  <pageMargins left="0.7" right="0.7" top="0.75" bottom="0.75" header="0.3" footer="0.3"/>
  <pageSetup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1839CD-E1DC-4C0C-97FF-3359DD906E4E}">
  <dimension ref="A2:C4"/>
  <sheetViews>
    <sheetView zoomScale="145" zoomScaleNormal="145" workbookViewId="0">
      <selection activeCell="B5" sqref="B5"/>
    </sheetView>
  </sheetViews>
  <sheetFormatPr defaultRowHeight="15" x14ac:dyDescent="0.25"/>
  <sheetData>
    <row r="2" spans="1:3" x14ac:dyDescent="0.25">
      <c r="A2" t="s">
        <v>15</v>
      </c>
      <c r="B2">
        <f>1.5</f>
        <v>1.5</v>
      </c>
      <c r="C2">
        <f>1.5</f>
        <v>1.5</v>
      </c>
    </row>
    <row r="3" spans="1:3" x14ac:dyDescent="0.25">
      <c r="A3" t="s">
        <v>31</v>
      </c>
      <c r="B3">
        <f>SUM(TwoParticleH0C0!X9:X37)</f>
        <v>0</v>
      </c>
    </row>
    <row r="4" spans="1:3" x14ac:dyDescent="0.25">
      <c r="B4">
        <f>B2*B3</f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C1ECFC5-E2E8-45B4-8CCC-7D201C99E9A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Plots</vt:lpstr>
      <vt:lpstr>TwoParticleH0C0</vt:lpstr>
      <vt:lpstr>TwoParticleH1C0</vt:lpstr>
      <vt:lpstr>Vals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Bell,Jackie M</dc:creator>
  <cp:lastModifiedBy>Bell,Jackie M</cp:lastModifiedBy>
  <dcterms:created xsi:type="dcterms:W3CDTF">2026-03-10T16:49:37Z</dcterms:created>
  <dcterms:modified xsi:type="dcterms:W3CDTF">2026-03-21T21:26:28Z</dcterms:modified>
</cp:coreProperties>
</file>