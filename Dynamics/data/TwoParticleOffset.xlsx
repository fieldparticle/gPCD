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Dynamics\data\"/>
    </mc:Choice>
  </mc:AlternateContent>
  <xr:revisionPtr revIDLastSave="0" documentId="13_ncr:1_{214F6ED7-98CE-4ADD-AF7C-AAD4D3C3A541}" xr6:coauthVersionLast="47" xr6:coauthVersionMax="47" xr10:uidLastSave="{00000000-0000-0000-0000-000000000000}"/>
  <bookViews>
    <workbookView xWindow="-28920" yWindow="-120" windowWidth="29040" windowHeight="15720" activeTab="2" xr2:uid="{94B2779E-56AA-4AF1-A320-932BC456757C}"/>
  </bookViews>
  <sheets>
    <sheet name="TwoParticleOffset0" sheetId="4" r:id="rId1"/>
    <sheet name="TwoParticleOffset1" sheetId="5" r:id="rId2"/>
    <sheet name="Vals" sheetId="1" r:id="rId3"/>
    <sheet name="PregMom" sheetId="6" r:id="rId4"/>
  </sheets>
  <definedNames>
    <definedName name="ExternalData_1" localSheetId="0" hidden="1">TwoParticleOffset0!$A$1:$AA$99</definedName>
    <definedName name="ExternalData_1" localSheetId="1" hidden="1">TwoParticleOffset1!$A$1:$AA$99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C4" i="1"/>
  <c r="B4" i="1"/>
  <c r="B3" i="1"/>
  <c r="B17" i="1"/>
  <c r="B21" i="6"/>
  <c r="B22" i="6"/>
  <c r="B23" i="6"/>
  <c r="B24" i="6"/>
  <c r="B25" i="6"/>
  <c r="B26" i="6"/>
  <c r="B27" i="6"/>
  <c r="B28" i="6"/>
  <c r="B29" i="6"/>
  <c r="B30" i="6"/>
  <c r="B31" i="6"/>
  <c r="B32" i="6"/>
  <c r="C32" i="6" s="1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2" i="6"/>
  <c r="J3" i="1"/>
  <c r="J4" i="1"/>
  <c r="J5" i="1"/>
  <c r="J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K26" i="1" s="1"/>
  <c r="J27" i="1"/>
  <c r="J28" i="1"/>
  <c r="J29" i="1"/>
  <c r="K29" i="1" s="1"/>
  <c r="J30" i="1"/>
  <c r="K30" i="1" s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2" i="1"/>
  <c r="H3" i="1"/>
  <c r="H4" i="1"/>
  <c r="H5" i="1"/>
  <c r="H6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I22" i="1" s="1"/>
  <c r="H23" i="1"/>
  <c r="I23" i="1" s="1"/>
  <c r="H24" i="1"/>
  <c r="I24" i="1" s="1"/>
  <c r="H25" i="1"/>
  <c r="H26" i="1"/>
  <c r="H27" i="1"/>
  <c r="H28" i="1"/>
  <c r="H29" i="1"/>
  <c r="I29" i="1" s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" i="1"/>
  <c r="B1" i="1"/>
  <c r="C3" i="1"/>
  <c r="C15" i="1"/>
  <c r="B15" i="1"/>
  <c r="C11" i="1"/>
  <c r="B11" i="1"/>
  <c r="C12" i="1"/>
  <c r="B12" i="1"/>
  <c r="B10" i="1"/>
  <c r="C45" i="6" l="1"/>
  <c r="C44" i="6"/>
  <c r="K32" i="1"/>
  <c r="C8" i="1"/>
  <c r="C43" i="6"/>
  <c r="C42" i="6"/>
  <c r="B8" i="1"/>
  <c r="C41" i="6"/>
  <c r="C40" i="6"/>
  <c r="C39" i="6"/>
  <c r="C38" i="6"/>
  <c r="C37" i="6"/>
  <c r="C35" i="6"/>
  <c r="C31" i="6"/>
  <c r="C30" i="6"/>
  <c r="I30" i="1"/>
  <c r="C36" i="6"/>
  <c r="C29" i="6"/>
  <c r="C28" i="6"/>
  <c r="C27" i="6"/>
  <c r="C26" i="6"/>
  <c r="K31" i="1"/>
  <c r="C25" i="6"/>
  <c r="C24" i="6"/>
  <c r="C21" i="6"/>
  <c r="C47" i="6"/>
  <c r="C46" i="6"/>
  <c r="C23" i="6"/>
  <c r="C22" i="6"/>
  <c r="C48" i="6"/>
  <c r="C34" i="6"/>
  <c r="C33" i="6"/>
  <c r="D3" i="6" s="1"/>
  <c r="I25" i="1"/>
  <c r="K28" i="1"/>
  <c r="D7" i="1"/>
  <c r="K27" i="1"/>
  <c r="I27" i="1"/>
  <c r="K57" i="1"/>
  <c r="K25" i="1"/>
  <c r="K55" i="1"/>
  <c r="K37" i="1"/>
  <c r="K56" i="1"/>
  <c r="K24" i="1"/>
  <c r="K23" i="1"/>
  <c r="K54" i="1"/>
  <c r="K22" i="1"/>
  <c r="K53" i="1"/>
  <c r="K21" i="1"/>
  <c r="K52" i="1"/>
  <c r="K20" i="1"/>
  <c r="K51" i="1"/>
  <c r="K19" i="1"/>
  <c r="K50" i="1"/>
  <c r="K18" i="1"/>
  <c r="K49" i="1"/>
  <c r="K17" i="1"/>
  <c r="K48" i="1"/>
  <c r="K16" i="1"/>
  <c r="K36" i="1"/>
  <c r="K35" i="1"/>
  <c r="K34" i="1"/>
  <c r="K33" i="1"/>
  <c r="K59" i="1"/>
  <c r="K58" i="1"/>
  <c r="I59" i="1"/>
  <c r="I58" i="1"/>
  <c r="I57" i="1"/>
  <c r="I56" i="1"/>
  <c r="I55" i="1"/>
  <c r="I54" i="1"/>
  <c r="I28" i="1"/>
  <c r="I26" i="1"/>
  <c r="K13" i="1"/>
  <c r="K6" i="1"/>
  <c r="K5" i="1"/>
  <c r="K39" i="1"/>
  <c r="K3" i="1"/>
  <c r="K47" i="1"/>
  <c r="K46" i="1"/>
  <c r="K12" i="1"/>
  <c r="K43" i="1"/>
  <c r="K10" i="1"/>
  <c r="K40" i="1"/>
  <c r="K38" i="1"/>
  <c r="K15" i="1"/>
  <c r="K14" i="1"/>
  <c r="K45" i="1"/>
  <c r="K44" i="1"/>
  <c r="K11" i="1"/>
  <c r="K42" i="1"/>
  <c r="K41" i="1"/>
  <c r="K4" i="1"/>
  <c r="I35" i="1"/>
  <c r="I34" i="1"/>
  <c r="I33" i="1"/>
  <c r="I32" i="1"/>
  <c r="I31" i="1"/>
  <c r="B5" i="1"/>
  <c r="I53" i="1"/>
  <c r="I21" i="1"/>
  <c r="I52" i="1"/>
  <c r="I20" i="1"/>
  <c r="I51" i="1"/>
  <c r="I19" i="1"/>
  <c r="I49" i="1"/>
  <c r="I17" i="1"/>
  <c r="I48" i="1"/>
  <c r="I16" i="1"/>
  <c r="I47" i="1"/>
  <c r="I15" i="1"/>
  <c r="I46" i="1"/>
  <c r="I14" i="1"/>
  <c r="I11" i="1"/>
  <c r="I6" i="1"/>
  <c r="I5" i="1"/>
  <c r="I38" i="1"/>
  <c r="I37" i="1"/>
  <c r="I36" i="1"/>
  <c r="I18" i="1"/>
  <c r="I45" i="1"/>
  <c r="I44" i="1"/>
  <c r="I42" i="1"/>
  <c r="I39" i="1"/>
  <c r="I50" i="1"/>
  <c r="I13" i="1"/>
  <c r="I12" i="1"/>
  <c r="I43" i="1"/>
  <c r="I10" i="1"/>
  <c r="I41" i="1"/>
  <c r="I40" i="1"/>
  <c r="I4" i="1"/>
  <c r="I3" i="1"/>
  <c r="D3" i="1"/>
  <c r="D15" i="1"/>
  <c r="C13" i="1"/>
  <c r="C14" i="1" s="1"/>
  <c r="D11" i="1"/>
  <c r="E11" i="1" s="1"/>
  <c r="D4" i="1"/>
  <c r="D12" i="1"/>
  <c r="C5" i="1"/>
  <c r="B13" i="1"/>
  <c r="B14" i="1" s="1"/>
  <c r="D8" i="1" l="1"/>
  <c r="C18" i="1"/>
  <c r="B18" i="1"/>
  <c r="B19" i="1" s="1"/>
  <c r="C19" i="1"/>
  <c r="D5" i="1"/>
  <c r="E5" i="1" s="1"/>
  <c r="D18" i="1" l="1"/>
  <c r="D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9EBDF1-5ADB-461B-839B-E09D8B337D4D}" keepAlive="1" name="Query - TwoParticleOffset0C0" description="Connection to the 'TwoParticleOffset0C0' query in the workbook." type="5" refreshedVersion="8" background="1" saveData="1">
    <dbPr connection="Provider=Microsoft.Mashup.OleDb.1;Data Source=$Workbook$;Location=TwoParticleOffset0C0;Extended Properties=&quot;&quot;" command="SELECT * FROM [TwoParticleOffset0C0]"/>
  </connection>
  <connection id="2" xr16:uid="{73B07354-FC80-4747-92F2-06FD71DCCEA5}" keepAlive="1" name="Query - TwoParticleOffset1C0" description="Connection to the 'TwoParticleOffset1C0' query in the workbook." type="5" refreshedVersion="8" background="1" saveData="1">
    <dbPr connection="Provider=Microsoft.Mashup.OleDb.1;Data Source=$Workbook$;Location=TwoParticleOffset1C0;Extended Properties=&quot;&quot;" command="SELECT * FROM [TwoParticleOffset1C0]"/>
  </connection>
</connections>
</file>

<file path=xl/sharedStrings.xml><?xml version="1.0" encoding="utf-8"?>
<sst xmlns="http://schemas.openxmlformats.org/spreadsheetml/2006/main" count="76" uniqueCount="47">
  <si>
    <t>P</t>
  </si>
  <si>
    <t>t</t>
  </si>
  <si>
    <t>vx</t>
  </si>
  <si>
    <t>vy</t>
  </si>
  <si>
    <t>pen_factor</t>
  </si>
  <si>
    <t>v_mag</t>
  </si>
  <si>
    <t>vel_mag_in</t>
  </si>
  <si>
    <t>imom</t>
  </si>
  <si>
    <t>v_ang</t>
  </si>
  <si>
    <t>imomx</t>
  </si>
  <si>
    <t>imomy</t>
  </si>
  <si>
    <t>cur_area</t>
  </si>
  <si>
    <t>Starting Momentum</t>
  </si>
  <si>
    <t>Ending Momentum</t>
  </si>
  <si>
    <t>Remaining Mom</t>
  </si>
  <si>
    <t>Diff</t>
  </si>
  <si>
    <t>area_diff</t>
  </si>
  <si>
    <t>Area</t>
  </si>
  <si>
    <t>Momentum Per area</t>
  </si>
  <si>
    <t>Remaing Area*momper</t>
  </si>
  <si>
    <t>Sum Area Diff</t>
  </si>
  <si>
    <t>Sum Area</t>
  </si>
  <si>
    <t>v_rel</t>
  </si>
  <si>
    <t>vx_rel</t>
  </si>
  <si>
    <t>vy_rel</t>
  </si>
  <si>
    <t>iter</t>
  </si>
  <si>
    <t>v_coll</t>
  </si>
  <si>
    <t>ang_diff</t>
  </si>
  <si>
    <t>tot_area</t>
  </si>
  <si>
    <t>col_acc_x</t>
  </si>
  <si>
    <t>col_acc_y</t>
  </si>
  <si>
    <t>col_acc_mag</t>
  </si>
  <si>
    <t>Total Angle Change</t>
  </si>
  <si>
    <t>ang_acc</t>
  </si>
  <si>
    <t>Radius</t>
  </si>
  <si>
    <t>P1 Area Change</t>
  </si>
  <si>
    <t>P1 Area Cgnage</t>
  </si>
  <si>
    <t>Second Derive Area Change Sum</t>
  </si>
  <si>
    <t>Times V_rel</t>
  </si>
  <si>
    <t>p_mom_x</t>
  </si>
  <si>
    <t>p_mom_y</t>
  </si>
  <si>
    <t>p_mom</t>
  </si>
  <si>
    <t>Pmom</t>
  </si>
  <si>
    <t>Pmom Diff</t>
  </si>
  <si>
    <t>p_mag</t>
  </si>
  <si>
    <t>diff</t>
  </si>
  <si>
    <t>SumDiff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</si>
</sst>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165" fontId="0" fillId="0" borderId="0" xfId="0" applyNumberFormat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0" xfId="0" applyNumberFormat="1"/>
  </cellXfs>
  <cellStyles count="1">
    <cellStyle name="Normal" xfId="0" builtinId="0"/>
  </cellStyles>
  <dxfs count="6">
    <dxf>
      <numFmt numFmtId="165" formatCode="0.00000000"/>
    </dxf>
    <dxf>
      <numFmt numFmtId="165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394591-20FC-4126-9CED-E4EAB2FA6E5B}" autoFormatId="16" applyNumberFormats="0" applyBorderFormats="0" applyFontFormats="0" applyPatternFormats="0" applyAlignmentFormats="0" applyWidthHeightFormats="0">
  <queryTableRefresh nextId="29">
    <queryTableFields count="27">
      <queryTableField id="1" name="P" tableColumnId="1"/>
      <queryTableField id="2" name="t" tableColumnId="2"/>
      <queryTableField id="3" name="iter" tableColumnId="3"/>
      <queryTableField id="4" name="vx" tableColumnId="4"/>
      <queryTableField id="5" name="vy" tableColumnId="5"/>
      <queryTableField id="6" name="pen_factor" tableColumnId="6"/>
      <queryTableField id="7" name="v_mag" tableColumnId="7"/>
      <queryTableField id="8" name="vel_mag_in" tableColumnId="8"/>
      <queryTableField id="9" name="v_coll" tableColumnId="9"/>
      <queryTableField id="10" name="v_ang" tableColumnId="10"/>
      <queryTableField id="24" name="ang_acc" tableColumnId="24"/>
      <queryTableField id="11" name="ang_diff" tableColumnId="11"/>
      <queryTableField id="12" name="imomx" tableColumnId="12"/>
      <queryTableField id="13" name="imomy" tableColumnId="13"/>
      <queryTableField id="14" name="imom" tableColumnId="14"/>
      <queryTableField id="15" name="tot_area" tableColumnId="15"/>
      <queryTableField id="16" name="cur_area" tableColumnId="16"/>
      <queryTableField id="17" name="area_diff" tableColumnId="17"/>
      <queryTableField id="18" name="vx_rel" tableColumnId="18"/>
      <queryTableField id="19" name="vy_rel" tableColumnId="19"/>
      <queryTableField id="20" name="v_rel" tableColumnId="20"/>
      <queryTableField id="21" name="col_acc_x" tableColumnId="21"/>
      <queryTableField id="22" name="col_acc_y" tableColumnId="22"/>
      <queryTableField id="23" name="col_acc_mag" tableColumnId="23"/>
      <queryTableField id="26" name="p_mom_x" tableColumnId="25"/>
      <queryTableField id="27" name="p_mom_y" tableColumnId="26"/>
      <queryTableField id="28" name="p_mom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FEB65A-69E4-4704-8792-FD02BBB6EF94}" autoFormatId="16" applyNumberFormats="0" applyBorderFormats="0" applyFontFormats="0" applyPatternFormats="0" applyAlignmentFormats="0" applyWidthHeightFormats="0">
  <queryTableRefresh nextId="31">
    <queryTableFields count="27">
      <queryTableField id="1" name="P" tableColumnId="1"/>
      <queryTableField id="2" name="t" tableColumnId="2"/>
      <queryTableField id="3" name="iter" tableColumnId="3"/>
      <queryTableField id="4" name="vx" tableColumnId="4"/>
      <queryTableField id="5" name="vy" tableColumnId="5"/>
      <queryTableField id="6" name="pen_factor" tableColumnId="6"/>
      <queryTableField id="7" name="v_mag" tableColumnId="7"/>
      <queryTableField id="8" name="vel_mag_in" tableColumnId="8"/>
      <queryTableField id="9" name="v_coll" tableColumnId="9"/>
      <queryTableField id="10" name="v_ang" tableColumnId="10"/>
      <queryTableField id="26" name="ang_acc" tableColumnId="25"/>
      <queryTableField id="11" name="ang_diff" tableColumnId="11"/>
      <queryTableField id="12" name="imomx" tableColumnId="12"/>
      <queryTableField id="13" name="imomy" tableColumnId="13"/>
      <queryTableField id="14" name="imom" tableColumnId="14"/>
      <queryTableField id="15" name="tot_area" tableColumnId="15"/>
      <queryTableField id="16" name="cur_area" tableColumnId="16"/>
      <queryTableField id="17" name="area_diff" tableColumnId="17"/>
      <queryTableField id="18" name="vx_rel" tableColumnId="18"/>
      <queryTableField id="19" name="vy_rel" tableColumnId="19"/>
      <queryTableField id="20" name="v_rel" tableColumnId="20"/>
      <queryTableField id="21" name="col_acc_x" tableColumnId="21"/>
      <queryTableField id="22" name="col_acc_y" tableColumnId="22"/>
      <queryTableField id="23" name="col_acc_mag" tableColumnId="23"/>
      <queryTableField id="28" name="p_mom_x" tableColumnId="24"/>
      <queryTableField id="29" name="p_mom_y" tableColumnId="26"/>
      <queryTableField id="30" name="p_mom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F34AA-562E-453E-A8B4-35F0AF69DFAA}" name="TwoParticleOffset0C0" displayName="TwoParticleOffset0C0" ref="A1:AA99" tableType="queryTable" totalsRowShown="0">
  <autoFilter ref="A1:AA99" xr:uid="{897F34AA-562E-453E-A8B4-35F0AF69DFAA}"/>
  <tableColumns count="27">
    <tableColumn id="1" xr3:uid="{599AF04B-E285-4701-BA3A-0F7821F7BDCC}" uniqueName="1" name="P" queryTableFieldId="1"/>
    <tableColumn id="2" xr3:uid="{A9FE59C2-851E-4CB9-8A1A-C407DD5AD5DC}" uniqueName="2" name="t" queryTableFieldId="2"/>
    <tableColumn id="3" xr3:uid="{2B936F21-104C-413B-A0AD-82A357B3E5A0}" uniqueName="3" name="iter" queryTableFieldId="3"/>
    <tableColumn id="4" xr3:uid="{B1B98416-608D-4EC6-A5CF-C77D30EE3021}" uniqueName="4" name="vx" queryTableFieldId="4"/>
    <tableColumn id="5" xr3:uid="{943414BB-949E-4881-9F47-3DEE3597AFE0}" uniqueName="5" name="vy" queryTableFieldId="5"/>
    <tableColumn id="6" xr3:uid="{F46FC3F7-BF3A-436B-9366-A218CAAE19D0}" uniqueName="6" name="pen_factor" queryTableFieldId="6"/>
    <tableColumn id="7" xr3:uid="{BF996B7B-0D93-4E84-8303-9ECBC4B0213F}" uniqueName="7" name="v_mag" queryTableFieldId="7"/>
    <tableColumn id="8" xr3:uid="{94A031CA-50D4-4A54-898E-05303923860E}" uniqueName="8" name="vel_mag_in" queryTableFieldId="8"/>
    <tableColumn id="9" xr3:uid="{C5422413-81B9-44A7-8708-162EF50DC6CF}" uniqueName="9" name="v_coll" queryTableFieldId="9"/>
    <tableColumn id="10" xr3:uid="{934B97FE-4E9C-4D63-9F20-6761681F7644}" uniqueName="10" name="v_ang" queryTableFieldId="10"/>
    <tableColumn id="24" xr3:uid="{90B4AE07-A316-478A-85B0-ADA17E98B105}" uniqueName="24" name="ang_acc" queryTableFieldId="24" dataDxfId="5"/>
    <tableColumn id="11" xr3:uid="{2089D267-0CE7-4535-BA58-251223F29410}" uniqueName="11" name="ang_diff" queryTableFieldId="11"/>
    <tableColumn id="12" xr3:uid="{0507B241-EC94-455A-BD79-792A590364BB}" uniqueName="12" name="imomx" queryTableFieldId="12"/>
    <tableColumn id="13" xr3:uid="{8B8E245F-D0BD-43E4-AA8C-45A0A2371B10}" uniqueName="13" name="imomy" queryTableFieldId="13"/>
    <tableColumn id="14" xr3:uid="{2A746C7C-2551-4EE9-84E3-76467BBB1595}" uniqueName="14" name="imom" queryTableFieldId="14"/>
    <tableColumn id="15" xr3:uid="{53A34531-09A1-482E-BCDA-998E3589E182}" uniqueName="15" name="tot_area" queryTableFieldId="15"/>
    <tableColumn id="16" xr3:uid="{76EA6548-E83E-40C7-B4A6-A9E1E0839E93}" uniqueName="16" name="cur_area" queryTableFieldId="16"/>
    <tableColumn id="17" xr3:uid="{A12973A8-0547-48F2-B149-2FE9BB7E649B}" uniqueName="17" name="area_diff" queryTableFieldId="17"/>
    <tableColumn id="18" xr3:uid="{7DB07025-93A6-4298-A25C-31B582977A9B}" uniqueName="18" name="vx_rel" queryTableFieldId="18"/>
    <tableColumn id="19" xr3:uid="{D7CB940F-024F-4EDA-BBED-5DF165E85778}" uniqueName="19" name="vy_rel" queryTableFieldId="19"/>
    <tableColumn id="20" xr3:uid="{377606F8-40A2-480B-8E7E-3F640EBA6699}" uniqueName="20" name="v_rel" queryTableFieldId="20"/>
    <tableColumn id="21" xr3:uid="{95B04C5F-DE8A-4B86-9AF7-6FBEF30C2718}" uniqueName="21" name="col_acc_x" queryTableFieldId="21"/>
    <tableColumn id="22" xr3:uid="{25A2504D-EDEE-46DD-8E6F-8405C7C3F34F}" uniqueName="22" name="col_acc_y" queryTableFieldId="22"/>
    <tableColumn id="23" xr3:uid="{18F68BB6-E16A-4B8D-98B3-84C226B401E2}" uniqueName="23" name="col_acc_mag" queryTableFieldId="23"/>
    <tableColumn id="25" xr3:uid="{3FAA7325-5B08-489F-90E2-7E70626F3897}" uniqueName="25" name="p_mom_x" queryTableFieldId="26" dataDxfId="4"/>
    <tableColumn id="26" xr3:uid="{E1C6F89A-84CC-43CA-8E57-78A2720B65A4}" uniqueName="26" name="p_mom_y" queryTableFieldId="27" dataDxfId="3"/>
    <tableColumn id="27" xr3:uid="{F80CA719-2329-40EA-8331-6387366A291A}" uniqueName="27" name="p_mom" queryTableFieldId="2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9613E2-299C-40FA-8768-E97B09681F6B}" name="TwoParticleOffset1C0" displayName="TwoParticleOffset1C0" ref="A1:AA99" tableType="queryTable" totalsRowShown="0">
  <autoFilter ref="A1:AA99" xr:uid="{BB9613E2-299C-40FA-8768-E97B09681F6B}"/>
  <tableColumns count="27">
    <tableColumn id="1" xr3:uid="{8ACA2BE0-6E91-49BA-BE2D-23225279ECA9}" uniqueName="1" name="P" queryTableFieldId="1"/>
    <tableColumn id="2" xr3:uid="{BCAC42C8-F8AA-4F53-9D00-F65ACD336FE6}" uniqueName="2" name="t" queryTableFieldId="2"/>
    <tableColumn id="3" xr3:uid="{B7756B4C-F4BF-4116-85ED-BDE708E5C115}" uniqueName="3" name="iter" queryTableFieldId="3"/>
    <tableColumn id="4" xr3:uid="{3109253C-1ECB-4950-8E19-95D4455ADD43}" uniqueName="4" name="vx" queryTableFieldId="4"/>
    <tableColumn id="5" xr3:uid="{B152DA54-685A-40D1-ADBB-392DB80F1224}" uniqueName="5" name="vy" queryTableFieldId="5"/>
    <tableColumn id="6" xr3:uid="{3C4482BC-78F6-436B-89A3-D7EB04DF09A2}" uniqueName="6" name="pen_factor" queryTableFieldId="6"/>
    <tableColumn id="7" xr3:uid="{AD3C5A08-3111-4CBA-BDE3-948E88904D07}" uniqueName="7" name="v_mag" queryTableFieldId="7"/>
    <tableColumn id="8" xr3:uid="{78CD5B61-29D0-4460-9F66-DD8F38CD0E53}" uniqueName="8" name="vel_mag_in" queryTableFieldId="8"/>
    <tableColumn id="9" xr3:uid="{95BCDB3D-5ECB-47FE-B0A8-05668C1F7B49}" uniqueName="9" name="v_coll" queryTableFieldId="9"/>
    <tableColumn id="10" xr3:uid="{3163FAA0-FA4B-40A2-89B8-9CEA1C709FBD}" uniqueName="10" name="v_ang" queryTableFieldId="10"/>
    <tableColumn id="25" xr3:uid="{D24D9C8A-4BDC-4EAA-876B-601D868D5C65}" uniqueName="25" name="ang_acc" queryTableFieldId="26" dataDxfId="1"/>
    <tableColumn id="11" xr3:uid="{88D01FDF-DFAE-47F8-AC79-9BE8D45AA1BC}" uniqueName="11" name="ang_diff" queryTableFieldId="11" dataDxfId="0"/>
    <tableColumn id="12" xr3:uid="{D134B041-D5F7-4D3B-883B-396A308CC33C}" uniqueName="12" name="imomx" queryTableFieldId="12"/>
    <tableColumn id="13" xr3:uid="{C05A7654-24DA-4E91-9296-CAEDCFDABB75}" uniqueName="13" name="imomy" queryTableFieldId="13"/>
    <tableColumn id="14" xr3:uid="{DC3725D8-B037-4E33-84DC-7366125BDA59}" uniqueName="14" name="imom" queryTableFieldId="14"/>
    <tableColumn id="15" xr3:uid="{C15A351A-5735-4EB7-88AD-1CCDF29457B7}" uniqueName="15" name="tot_area" queryTableFieldId="15"/>
    <tableColumn id="16" xr3:uid="{29DE6AF4-A6D7-416E-9D8E-9EF3F32F298A}" uniqueName="16" name="cur_area" queryTableFieldId="16"/>
    <tableColumn id="17" xr3:uid="{4277F584-2264-4508-A47C-7A393D1489D3}" uniqueName="17" name="area_diff" queryTableFieldId="17"/>
    <tableColumn id="18" xr3:uid="{C149256D-5B42-4568-AC81-79298D0093A0}" uniqueName="18" name="vx_rel" queryTableFieldId="18"/>
    <tableColumn id="19" xr3:uid="{CF5B3AA6-FB9D-4C54-A3C9-CCE1FDD13988}" uniqueName="19" name="vy_rel" queryTableFieldId="19"/>
    <tableColumn id="20" xr3:uid="{1B5615BB-2AB6-4612-BEB8-747667FDBA64}" uniqueName="20" name="v_rel" queryTableFieldId="20"/>
    <tableColumn id="21" xr3:uid="{17CC8357-DBB5-4487-8225-D2BFD479AFB7}" uniqueName="21" name="col_acc_x" queryTableFieldId="21"/>
    <tableColumn id="22" xr3:uid="{4052AC8F-5C69-43A6-BBAD-349D76F2D663}" uniqueName="22" name="col_acc_y" queryTableFieldId="22"/>
    <tableColumn id="23" xr3:uid="{B46B087B-65B4-4301-A263-21B46A331D26}" uniqueName="23" name="col_acc_mag" queryTableFieldId="23"/>
    <tableColumn id="24" xr3:uid="{5D3502E9-284A-4526-8BDA-2B706A0AB200}" uniqueName="24" name="p_mom_x" queryTableFieldId="28"/>
    <tableColumn id="26" xr3:uid="{1930E2B6-ABC2-454B-908F-65BC9EA89B9A}" uniqueName="26" name="p_mom_y" queryTableFieldId="29"/>
    <tableColumn id="27" xr3:uid="{BCC6A21B-F18C-4993-8FD9-E014B3C3DED7}" uniqueName="27" name="p_mom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C361-1E6A-458A-8BD5-2FF4C21EEBA1}">
  <dimension ref="A1:AA99"/>
  <sheetViews>
    <sheetView topLeftCell="H64" workbookViewId="0">
      <selection sqref="A1:AA83"/>
    </sheetView>
  </sheetViews>
  <sheetFormatPr defaultRowHeight="15" x14ac:dyDescent="0.25"/>
  <cols>
    <col min="1" max="1" width="4.42578125" bestFit="1" customWidth="1"/>
    <col min="2" max="2" width="6" bestFit="1" customWidth="1"/>
    <col min="3" max="3" width="6.42578125" bestFit="1" customWidth="1"/>
    <col min="4" max="5" width="7" bestFit="1" customWidth="1"/>
    <col min="6" max="6" width="12.85546875" bestFit="1" customWidth="1"/>
    <col min="7" max="7" width="11" bestFit="1" customWidth="1"/>
    <col min="8" max="8" width="13.140625" bestFit="1" customWidth="1"/>
    <col min="9" max="9" width="8.42578125" bestFit="1" customWidth="1"/>
    <col min="10" max="10" width="8.28515625" bestFit="1" customWidth="1"/>
    <col min="11" max="11" width="10.5703125" style="3" bestFit="1" customWidth="1"/>
    <col min="12" max="12" width="11.7109375" bestFit="1" customWidth="1"/>
    <col min="13" max="14" width="9.42578125" bestFit="1" customWidth="1"/>
    <col min="15" max="15" width="11" bestFit="1" customWidth="1"/>
    <col min="16" max="16" width="11.7109375" bestFit="1" customWidth="1"/>
    <col min="17" max="17" width="11" bestFit="1" customWidth="1"/>
    <col min="18" max="18" width="11.7109375" bestFit="1" customWidth="1"/>
    <col min="19" max="20" width="8.5703125" bestFit="1" customWidth="1"/>
    <col min="21" max="21" width="11" bestFit="1" customWidth="1"/>
    <col min="22" max="23" width="11.7109375" bestFit="1" customWidth="1"/>
    <col min="24" max="24" width="14.42578125" customWidth="1"/>
    <col min="25" max="26" width="11.7109375" bestFit="1" customWidth="1"/>
    <col min="27" max="27" width="11" bestFit="1" customWidth="1"/>
  </cols>
  <sheetData>
    <row r="1" spans="1:27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26</v>
      </c>
      <c r="J1" t="s">
        <v>8</v>
      </c>
      <c r="K1" s="3" t="s">
        <v>33</v>
      </c>
      <c r="L1" t="s">
        <v>27</v>
      </c>
      <c r="M1" t="s">
        <v>9</v>
      </c>
      <c r="N1" t="s">
        <v>10</v>
      </c>
      <c r="O1" t="s">
        <v>7</v>
      </c>
      <c r="P1" t="s">
        <v>28</v>
      </c>
      <c r="Q1" t="s">
        <v>11</v>
      </c>
      <c r="R1" t="s">
        <v>16</v>
      </c>
      <c r="S1" t="s">
        <v>23</v>
      </c>
      <c r="T1" t="s">
        <v>24</v>
      </c>
      <c r="U1" t="s">
        <v>22</v>
      </c>
      <c r="V1" t="s">
        <v>29</v>
      </c>
      <c r="W1" t="s">
        <v>30</v>
      </c>
      <c r="X1" t="s">
        <v>31</v>
      </c>
      <c r="Y1" t="s">
        <v>39</v>
      </c>
      <c r="Z1" t="s">
        <v>40</v>
      </c>
      <c r="AA1" t="s">
        <v>41</v>
      </c>
    </row>
    <row r="2" spans="1:27" x14ac:dyDescent="0.25">
      <c r="A2">
        <v>0</v>
      </c>
      <c r="B2">
        <v>3.0000000000000001E-3</v>
      </c>
      <c r="C2">
        <v>1</v>
      </c>
      <c r="D2">
        <v>0.95</v>
      </c>
      <c r="E2">
        <v>0.05</v>
      </c>
      <c r="F2">
        <v>0</v>
      </c>
      <c r="G2">
        <v>0</v>
      </c>
      <c r="H2">
        <v>0</v>
      </c>
      <c r="I2">
        <v>0</v>
      </c>
      <c r="J2">
        <v>0</v>
      </c>
      <c r="K2" s="3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7">
        <v>0</v>
      </c>
      <c r="Z2" s="7">
        <v>0</v>
      </c>
      <c r="AA2" s="7">
        <v>0</v>
      </c>
    </row>
    <row r="3" spans="1:27" x14ac:dyDescent="0.25">
      <c r="A3">
        <v>0</v>
      </c>
      <c r="B3">
        <v>6.0000000000000001E-3</v>
      </c>
      <c r="C3">
        <v>2</v>
      </c>
      <c r="D3">
        <v>0.95</v>
      </c>
      <c r="E3">
        <v>0.05</v>
      </c>
      <c r="F3">
        <v>0</v>
      </c>
      <c r="G3">
        <v>0.95131487999999997</v>
      </c>
      <c r="H3">
        <v>0</v>
      </c>
      <c r="I3">
        <v>0</v>
      </c>
      <c r="J3">
        <v>5.2600000000000001E-2</v>
      </c>
      <c r="K3" s="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7">
        <v>0</v>
      </c>
      <c r="Z3" s="7">
        <v>0</v>
      </c>
      <c r="AA3" s="7">
        <v>0</v>
      </c>
    </row>
    <row r="4" spans="1:27" x14ac:dyDescent="0.25">
      <c r="A4">
        <v>0</v>
      </c>
      <c r="B4">
        <v>8.9999999999999993E-3</v>
      </c>
      <c r="C4">
        <v>3</v>
      </c>
      <c r="D4">
        <v>0.95</v>
      </c>
      <c r="E4">
        <v>0.05</v>
      </c>
      <c r="F4">
        <v>0</v>
      </c>
      <c r="G4">
        <v>0.95131487999999997</v>
      </c>
      <c r="H4">
        <v>0</v>
      </c>
      <c r="I4">
        <v>0</v>
      </c>
      <c r="J4">
        <v>5.2600000000000001E-2</v>
      </c>
      <c r="K4" s="3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7">
        <v>0</v>
      </c>
      <c r="Z4" s="7">
        <v>0</v>
      </c>
      <c r="AA4" s="7">
        <v>0</v>
      </c>
    </row>
    <row r="5" spans="1:27" x14ac:dyDescent="0.25">
      <c r="A5">
        <v>0</v>
      </c>
      <c r="B5">
        <v>1.2E-2</v>
      </c>
      <c r="C5">
        <v>4</v>
      </c>
      <c r="D5">
        <v>0.95</v>
      </c>
      <c r="E5">
        <v>0.05</v>
      </c>
      <c r="F5">
        <v>0</v>
      </c>
      <c r="G5">
        <v>0.95131487999999997</v>
      </c>
      <c r="H5">
        <v>0</v>
      </c>
      <c r="I5">
        <v>0</v>
      </c>
      <c r="J5">
        <v>5.2600000000000001E-2</v>
      </c>
      <c r="K5" s="3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7">
        <v>0</v>
      </c>
      <c r="Z5" s="7">
        <v>0</v>
      </c>
      <c r="AA5" s="7">
        <v>0</v>
      </c>
    </row>
    <row r="6" spans="1:27" x14ac:dyDescent="0.25">
      <c r="A6">
        <v>0</v>
      </c>
      <c r="B6">
        <v>1.4999999999999999E-2</v>
      </c>
      <c r="C6">
        <v>5</v>
      </c>
      <c r="D6">
        <v>0.95</v>
      </c>
      <c r="E6">
        <v>0.05</v>
      </c>
      <c r="F6">
        <v>0</v>
      </c>
      <c r="G6">
        <v>0.95131487999999997</v>
      </c>
      <c r="H6">
        <v>0</v>
      </c>
      <c r="I6">
        <v>0</v>
      </c>
      <c r="J6">
        <v>5.2600000000000001E-2</v>
      </c>
      <c r="K6" s="3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7">
        <v>0</v>
      </c>
      <c r="Z6" s="7">
        <v>0</v>
      </c>
      <c r="AA6" s="7">
        <v>0</v>
      </c>
    </row>
    <row r="7" spans="1:27" x14ac:dyDescent="0.25">
      <c r="A7">
        <v>0</v>
      </c>
      <c r="B7">
        <v>1.7999999999999999E-2</v>
      </c>
      <c r="C7">
        <v>6</v>
      </c>
      <c r="D7">
        <v>0.95</v>
      </c>
      <c r="E7">
        <v>0.05</v>
      </c>
      <c r="F7">
        <v>0</v>
      </c>
      <c r="G7">
        <v>0.95131487999999997</v>
      </c>
      <c r="H7">
        <v>0</v>
      </c>
      <c r="I7">
        <v>0</v>
      </c>
      <c r="J7">
        <v>5.2600000000000001E-2</v>
      </c>
      <c r="K7" s="3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7">
        <v>0</v>
      </c>
      <c r="Z7" s="7">
        <v>0</v>
      </c>
      <c r="AA7" s="7">
        <v>0</v>
      </c>
    </row>
    <row r="8" spans="1:27" x14ac:dyDescent="0.25">
      <c r="A8">
        <v>0</v>
      </c>
      <c r="B8">
        <v>2.1000000000000001E-2</v>
      </c>
      <c r="C8">
        <v>7</v>
      </c>
      <c r="D8">
        <v>0.95</v>
      </c>
      <c r="E8">
        <v>0.05</v>
      </c>
      <c r="F8">
        <v>0</v>
      </c>
      <c r="G8">
        <v>0.95131487999999997</v>
      </c>
      <c r="H8">
        <v>0</v>
      </c>
      <c r="I8">
        <v>0</v>
      </c>
      <c r="J8">
        <v>5.2600000000000001E-2</v>
      </c>
      <c r="K8" s="3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7">
        <v>0</v>
      </c>
      <c r="Z8" s="7">
        <v>0</v>
      </c>
      <c r="AA8" s="7">
        <v>0</v>
      </c>
    </row>
    <row r="9" spans="1:27" x14ac:dyDescent="0.25">
      <c r="A9">
        <v>0</v>
      </c>
      <c r="B9">
        <v>2.4E-2</v>
      </c>
      <c r="C9">
        <v>8</v>
      </c>
      <c r="D9">
        <v>0.95</v>
      </c>
      <c r="E9">
        <v>0.05</v>
      </c>
      <c r="F9">
        <v>0</v>
      </c>
      <c r="G9">
        <v>0.95131487999999997</v>
      </c>
      <c r="H9">
        <v>0</v>
      </c>
      <c r="I9">
        <v>0</v>
      </c>
      <c r="J9">
        <v>5.2600000000000001E-2</v>
      </c>
      <c r="K9" s="3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7">
        <v>0</v>
      </c>
      <c r="Z9" s="7">
        <v>0</v>
      </c>
      <c r="AA9" s="7">
        <v>0</v>
      </c>
    </row>
    <row r="10" spans="1:27" x14ac:dyDescent="0.25">
      <c r="A10">
        <v>0</v>
      </c>
      <c r="B10">
        <v>2.7E-2</v>
      </c>
      <c r="C10">
        <v>9</v>
      </c>
      <c r="D10">
        <v>0.95</v>
      </c>
      <c r="E10">
        <v>0.05</v>
      </c>
      <c r="F10">
        <v>0</v>
      </c>
      <c r="G10">
        <v>0.95131487999999997</v>
      </c>
      <c r="H10">
        <v>0</v>
      </c>
      <c r="I10">
        <v>0</v>
      </c>
      <c r="J10">
        <v>5.2600000000000001E-2</v>
      </c>
      <c r="K10" s="3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7">
        <v>0</v>
      </c>
      <c r="Z10" s="7">
        <v>0</v>
      </c>
      <c r="AA10" s="7">
        <v>0</v>
      </c>
    </row>
    <row r="11" spans="1:27" x14ac:dyDescent="0.25">
      <c r="A11">
        <v>0</v>
      </c>
      <c r="B11">
        <v>0.03</v>
      </c>
      <c r="C11">
        <v>10</v>
      </c>
      <c r="D11">
        <v>0.95</v>
      </c>
      <c r="E11">
        <v>0.05</v>
      </c>
      <c r="F11">
        <v>0</v>
      </c>
      <c r="G11">
        <v>0.95131487999999997</v>
      </c>
      <c r="H11">
        <v>0</v>
      </c>
      <c r="I11">
        <v>0</v>
      </c>
      <c r="J11">
        <v>5.2600000000000001E-2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7">
        <v>0</v>
      </c>
      <c r="Z11" s="7">
        <v>0</v>
      </c>
      <c r="AA11" s="7">
        <v>0</v>
      </c>
    </row>
    <row r="12" spans="1:27" x14ac:dyDescent="0.25">
      <c r="A12">
        <v>0</v>
      </c>
      <c r="B12">
        <v>3.3000000000000002E-2</v>
      </c>
      <c r="C12">
        <v>11</v>
      </c>
      <c r="D12">
        <v>0.95</v>
      </c>
      <c r="E12">
        <v>0.05</v>
      </c>
      <c r="F12">
        <v>0</v>
      </c>
      <c r="G12">
        <v>0.95131487999999997</v>
      </c>
      <c r="H12">
        <v>0</v>
      </c>
      <c r="I12">
        <v>0</v>
      </c>
      <c r="J12">
        <v>5.2600000000000001E-2</v>
      </c>
      <c r="K12" s="3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7">
        <v>0</v>
      </c>
      <c r="Z12" s="7">
        <v>0</v>
      </c>
      <c r="AA12" s="7">
        <v>0</v>
      </c>
    </row>
    <row r="13" spans="1:27" x14ac:dyDescent="0.25">
      <c r="A13">
        <v>0</v>
      </c>
      <c r="B13">
        <v>3.5999999999999997E-2</v>
      </c>
      <c r="C13">
        <v>12</v>
      </c>
      <c r="D13">
        <v>0.95</v>
      </c>
      <c r="E13">
        <v>0.05</v>
      </c>
      <c r="F13">
        <v>0</v>
      </c>
      <c r="G13">
        <v>0.95131487999999997</v>
      </c>
      <c r="H13">
        <v>0</v>
      </c>
      <c r="I13">
        <v>0</v>
      </c>
      <c r="J13">
        <v>5.2600000000000001E-2</v>
      </c>
      <c r="K13" s="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7">
        <v>0</v>
      </c>
      <c r="Z13" s="7">
        <v>0</v>
      </c>
      <c r="AA13" s="7">
        <v>0</v>
      </c>
    </row>
    <row r="14" spans="1:27" x14ac:dyDescent="0.25">
      <c r="A14">
        <v>0</v>
      </c>
      <c r="B14">
        <v>3.9E-2</v>
      </c>
      <c r="C14">
        <v>13</v>
      </c>
      <c r="D14">
        <v>0.95</v>
      </c>
      <c r="E14">
        <v>0.05</v>
      </c>
      <c r="F14">
        <v>0</v>
      </c>
      <c r="G14">
        <v>0.95131487999999997</v>
      </c>
      <c r="H14">
        <v>0</v>
      </c>
      <c r="I14">
        <v>0</v>
      </c>
      <c r="J14">
        <v>5.2600000000000001E-2</v>
      </c>
      <c r="K14" s="3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7">
        <v>0</v>
      </c>
      <c r="Z14" s="7">
        <v>0</v>
      </c>
      <c r="AA14" s="7">
        <v>0</v>
      </c>
    </row>
    <row r="15" spans="1:27" x14ac:dyDescent="0.25">
      <c r="A15">
        <v>0</v>
      </c>
      <c r="B15">
        <v>4.2000000000000003E-2</v>
      </c>
      <c r="C15">
        <v>14</v>
      </c>
      <c r="D15">
        <v>0.95</v>
      </c>
      <c r="E15">
        <v>0.05</v>
      </c>
      <c r="F15">
        <v>0</v>
      </c>
      <c r="G15">
        <v>0.95131487999999997</v>
      </c>
      <c r="H15">
        <v>0</v>
      </c>
      <c r="I15">
        <v>0</v>
      </c>
      <c r="J15">
        <v>5.2600000000000001E-2</v>
      </c>
      <c r="K15" s="3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7">
        <v>0</v>
      </c>
      <c r="Z15" s="7">
        <v>0</v>
      </c>
      <c r="AA15" s="7">
        <v>0</v>
      </c>
    </row>
    <row r="16" spans="1:27" x14ac:dyDescent="0.25">
      <c r="A16">
        <v>0</v>
      </c>
      <c r="B16">
        <v>4.4999999999999998E-2</v>
      </c>
      <c r="C16">
        <v>15</v>
      </c>
      <c r="D16">
        <v>0.95</v>
      </c>
      <c r="E16">
        <v>0.05</v>
      </c>
      <c r="F16">
        <v>0</v>
      </c>
      <c r="G16">
        <v>0.95131487999999997</v>
      </c>
      <c r="H16">
        <v>0</v>
      </c>
      <c r="I16">
        <v>0</v>
      </c>
      <c r="J16">
        <v>5.2600000000000001E-2</v>
      </c>
      <c r="K16" s="3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7">
        <v>0</v>
      </c>
      <c r="Z16" s="7">
        <v>0</v>
      </c>
      <c r="AA16" s="7">
        <v>0</v>
      </c>
    </row>
    <row r="17" spans="1:27" x14ac:dyDescent="0.25">
      <c r="A17">
        <v>0</v>
      </c>
      <c r="B17">
        <v>4.8000000000000001E-2</v>
      </c>
      <c r="C17">
        <v>16</v>
      </c>
      <c r="D17">
        <v>0.95</v>
      </c>
      <c r="E17">
        <v>0.05</v>
      </c>
      <c r="F17">
        <v>0</v>
      </c>
      <c r="G17">
        <v>0.95131487999999997</v>
      </c>
      <c r="H17">
        <v>0</v>
      </c>
      <c r="I17">
        <v>0</v>
      </c>
      <c r="J17">
        <v>5.2600000000000001E-2</v>
      </c>
      <c r="K17" s="3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7">
        <v>0</v>
      </c>
      <c r="Z17" s="7">
        <v>0</v>
      </c>
      <c r="AA17" s="7">
        <v>0</v>
      </c>
    </row>
    <row r="18" spans="1:27" x14ac:dyDescent="0.25">
      <c r="A18">
        <v>0</v>
      </c>
      <c r="B18">
        <v>5.0999999999999997E-2</v>
      </c>
      <c r="C18">
        <v>17</v>
      </c>
      <c r="D18">
        <v>0.95</v>
      </c>
      <c r="E18">
        <v>0.05</v>
      </c>
      <c r="F18">
        <v>0</v>
      </c>
      <c r="G18">
        <v>0.95131487999999997</v>
      </c>
      <c r="H18">
        <v>0</v>
      </c>
      <c r="I18">
        <v>0</v>
      </c>
      <c r="J18">
        <v>5.2600000000000001E-2</v>
      </c>
      <c r="K18" s="3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7">
        <v>0</v>
      </c>
      <c r="Z18" s="7">
        <v>0</v>
      </c>
      <c r="AA18" s="7">
        <v>0</v>
      </c>
    </row>
    <row r="19" spans="1:27" x14ac:dyDescent="0.25">
      <c r="A19">
        <v>0</v>
      </c>
      <c r="B19">
        <v>5.3999999999999999E-2</v>
      </c>
      <c r="C19">
        <v>18</v>
      </c>
      <c r="D19">
        <v>0.95</v>
      </c>
      <c r="E19">
        <v>0.05</v>
      </c>
      <c r="F19">
        <v>0</v>
      </c>
      <c r="G19">
        <v>0.95131487999999997</v>
      </c>
      <c r="H19">
        <v>0</v>
      </c>
      <c r="I19">
        <v>0</v>
      </c>
      <c r="J19">
        <v>5.2600000000000001E-2</v>
      </c>
      <c r="K19" s="3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7">
        <v>0</v>
      </c>
      <c r="Z19" s="7">
        <v>0</v>
      </c>
      <c r="AA19" s="7">
        <v>0</v>
      </c>
    </row>
    <row r="20" spans="1:27" x14ac:dyDescent="0.25">
      <c r="A20">
        <v>0</v>
      </c>
      <c r="B20">
        <v>5.7000000000000002E-2</v>
      </c>
      <c r="C20">
        <v>19</v>
      </c>
      <c r="D20">
        <v>0.95</v>
      </c>
      <c r="E20">
        <v>0.05</v>
      </c>
      <c r="F20">
        <v>1.0503E-4</v>
      </c>
      <c r="G20">
        <v>0.95131487999999997</v>
      </c>
      <c r="H20">
        <v>0.95131487999999997</v>
      </c>
      <c r="I20">
        <v>0</v>
      </c>
      <c r="J20">
        <v>5.2600000000000001E-2</v>
      </c>
      <c r="K20" s="3">
        <v>0</v>
      </c>
      <c r="L20">
        <v>0</v>
      </c>
      <c r="M20">
        <v>0</v>
      </c>
      <c r="N20">
        <v>0</v>
      </c>
      <c r="O20">
        <v>4.0229999999999999E-5</v>
      </c>
      <c r="P20">
        <v>-2.0619999999999999E-5</v>
      </c>
      <c r="Q20">
        <v>2.0619999999999999E-5</v>
      </c>
      <c r="R20">
        <v>-2.0619999999999999E-5</v>
      </c>
      <c r="S20">
        <v>1.95</v>
      </c>
      <c r="T20">
        <v>0.05</v>
      </c>
      <c r="U20">
        <v>1.9506409199999999</v>
      </c>
      <c r="V20">
        <v>-2.376E-5</v>
      </c>
      <c r="W20">
        <v>3.2459999999999998E-5</v>
      </c>
      <c r="X20">
        <v>0</v>
      </c>
      <c r="Y20" s="7">
        <v>-1</v>
      </c>
      <c r="Z20" s="7">
        <v>0</v>
      </c>
      <c r="AA20" s="7">
        <v>0</v>
      </c>
    </row>
    <row r="21" spans="1:27" x14ac:dyDescent="0.25">
      <c r="A21">
        <v>0</v>
      </c>
      <c r="B21">
        <v>0.06</v>
      </c>
      <c r="C21">
        <v>20</v>
      </c>
      <c r="D21">
        <v>0.95</v>
      </c>
      <c r="E21">
        <v>0.05</v>
      </c>
      <c r="F21">
        <v>9.5472999999999999E-4</v>
      </c>
      <c r="G21">
        <v>0.95129286000000002</v>
      </c>
      <c r="H21">
        <v>0.95131487999999997</v>
      </c>
      <c r="I21">
        <v>0</v>
      </c>
      <c r="J21">
        <v>5.2600000000000001E-2</v>
      </c>
      <c r="K21" s="3">
        <v>2.20255402</v>
      </c>
      <c r="L21">
        <v>0</v>
      </c>
      <c r="M21">
        <v>-2.0000000000000001E-4</v>
      </c>
      <c r="N21">
        <v>2.9999999999999997E-4</v>
      </c>
      <c r="O21">
        <v>4.0589000000000001E-4</v>
      </c>
      <c r="P21">
        <v>-1.8746E-4</v>
      </c>
      <c r="Q21">
        <v>1.8746E-4</v>
      </c>
      <c r="R21">
        <v>-1.6684E-4</v>
      </c>
      <c r="S21">
        <v>1.95</v>
      </c>
      <c r="T21">
        <v>0.05</v>
      </c>
      <c r="U21">
        <v>1.9506409199999999</v>
      </c>
      <c r="V21">
        <v>-2.1308000000000001E-4</v>
      </c>
      <c r="W21">
        <v>2.9716999999999998E-4</v>
      </c>
      <c r="X21">
        <v>0</v>
      </c>
      <c r="Y21" s="7">
        <v>0.94997624000000003</v>
      </c>
      <c r="Z21" s="7">
        <v>5.0032460000000001E-2</v>
      </c>
      <c r="AA21" s="7">
        <v>0.95129286000000002</v>
      </c>
    </row>
    <row r="22" spans="1:27" x14ac:dyDescent="0.25">
      <c r="A22">
        <v>0</v>
      </c>
      <c r="B22">
        <v>6.3E-2</v>
      </c>
      <c r="C22">
        <v>21</v>
      </c>
      <c r="D22">
        <v>0.94979999999999998</v>
      </c>
      <c r="E22">
        <v>5.0299999999999997E-2</v>
      </c>
      <c r="F22">
        <v>2.2252000000000001E-3</v>
      </c>
      <c r="G22">
        <v>0.95109575999999996</v>
      </c>
      <c r="H22">
        <v>0.95131487999999997</v>
      </c>
      <c r="I22">
        <v>0</v>
      </c>
      <c r="J22">
        <v>5.2900000000000003E-2</v>
      </c>
      <c r="K22" s="3">
        <v>2.1928515499999999</v>
      </c>
      <c r="L22">
        <v>-9.7024699999999995E-3</v>
      </c>
      <c r="M22">
        <v>-5.0000000000000001E-4</v>
      </c>
      <c r="N22">
        <v>6.9999999999999999E-4</v>
      </c>
      <c r="O22">
        <v>1.2581599999999999E-3</v>
      </c>
      <c r="P22">
        <v>-4.3691999999999998E-4</v>
      </c>
      <c r="Q22">
        <v>4.3691999999999998E-4</v>
      </c>
      <c r="R22">
        <v>-2.4946000000000001E-4</v>
      </c>
      <c r="S22">
        <v>1.95</v>
      </c>
      <c r="T22">
        <v>0.05</v>
      </c>
      <c r="U22">
        <v>1.9506409199999999</v>
      </c>
      <c r="V22">
        <v>-4.8979000000000004E-4</v>
      </c>
      <c r="W22">
        <v>6.9746999999999995E-4</v>
      </c>
      <c r="X22">
        <v>0</v>
      </c>
      <c r="Y22" s="7">
        <v>0.94976316999999999</v>
      </c>
      <c r="Z22" s="7">
        <v>5.032963E-2</v>
      </c>
      <c r="AA22" s="7">
        <v>0.95109575999999996</v>
      </c>
    </row>
    <row r="23" spans="1:27" x14ac:dyDescent="0.25">
      <c r="A23">
        <v>0</v>
      </c>
      <c r="B23">
        <v>6.6000000000000003E-2</v>
      </c>
      <c r="C23">
        <v>22</v>
      </c>
      <c r="D23">
        <v>0.94930000000000003</v>
      </c>
      <c r="E23">
        <v>5.0999999999999997E-2</v>
      </c>
      <c r="F23">
        <v>3.7793800000000002E-3</v>
      </c>
      <c r="G23">
        <v>0.95064384000000002</v>
      </c>
      <c r="H23">
        <v>0.95131487999999997</v>
      </c>
      <c r="I23">
        <v>0</v>
      </c>
      <c r="J23">
        <v>5.3699999999999998E-2</v>
      </c>
      <c r="K23" s="3">
        <v>2.1830196100000001</v>
      </c>
      <c r="L23">
        <v>-9.8319400000000008E-3</v>
      </c>
      <c r="M23">
        <v>-8.0000000000000004E-4</v>
      </c>
      <c r="N23">
        <v>1.1999999999999999E-3</v>
      </c>
      <c r="O23">
        <v>2.7056900000000002E-3</v>
      </c>
      <c r="P23">
        <v>-7.4208E-4</v>
      </c>
      <c r="Q23">
        <v>7.4208E-4</v>
      </c>
      <c r="R23">
        <v>-3.0516000000000001E-4</v>
      </c>
      <c r="S23">
        <v>1.95</v>
      </c>
      <c r="T23">
        <v>0.05</v>
      </c>
      <c r="U23">
        <v>1.9506409199999999</v>
      </c>
      <c r="V23">
        <v>-8.2003999999999996E-4</v>
      </c>
      <c r="W23">
        <v>1.1928500000000001E-3</v>
      </c>
      <c r="X23">
        <v>0</v>
      </c>
      <c r="Y23" s="7">
        <v>0.94927338000000006</v>
      </c>
      <c r="Z23" s="7">
        <v>5.1027110000000001E-2</v>
      </c>
      <c r="AA23" s="7">
        <v>0.95064384000000002</v>
      </c>
    </row>
    <row r="24" spans="1:27" x14ac:dyDescent="0.25">
      <c r="A24">
        <v>0</v>
      </c>
      <c r="B24">
        <v>6.9000000000000006E-2</v>
      </c>
      <c r="C24">
        <v>23</v>
      </c>
      <c r="D24">
        <v>0.94850000000000001</v>
      </c>
      <c r="E24">
        <v>5.2200000000000003E-2</v>
      </c>
      <c r="F24">
        <v>5.5488400000000002E-3</v>
      </c>
      <c r="G24">
        <v>0.94988982</v>
      </c>
      <c r="H24">
        <v>0.95131487999999997</v>
      </c>
      <c r="I24">
        <v>0</v>
      </c>
      <c r="J24">
        <v>5.5E-2</v>
      </c>
      <c r="K24" s="3">
        <v>2.1730576799999999</v>
      </c>
      <c r="L24">
        <v>-9.9619300000000008E-3</v>
      </c>
      <c r="M24">
        <v>-1.1999999999999999E-3</v>
      </c>
      <c r="N24">
        <v>1.8E-3</v>
      </c>
      <c r="O24">
        <v>4.8309399999999997E-3</v>
      </c>
      <c r="P24">
        <v>-1.0895099999999999E-3</v>
      </c>
      <c r="Q24">
        <v>1.0895099999999999E-3</v>
      </c>
      <c r="R24">
        <v>-3.4743000000000003E-4</v>
      </c>
      <c r="S24">
        <v>1.95</v>
      </c>
      <c r="T24">
        <v>0.05</v>
      </c>
      <c r="U24">
        <v>1.9506409199999999</v>
      </c>
      <c r="V24">
        <v>-1.1862299999999999E-3</v>
      </c>
      <c r="W24">
        <v>1.7633900000000001E-3</v>
      </c>
      <c r="X24">
        <v>0</v>
      </c>
      <c r="Y24" s="7">
        <v>0.94845334000000003</v>
      </c>
      <c r="Z24" s="7">
        <v>5.2219950000000001E-2</v>
      </c>
      <c r="AA24" s="7">
        <v>0.94988982</v>
      </c>
    </row>
    <row r="25" spans="1:27" x14ac:dyDescent="0.25">
      <c r="A25">
        <v>0</v>
      </c>
      <c r="B25">
        <v>7.1999999999999995E-2</v>
      </c>
      <c r="C25">
        <v>24</v>
      </c>
      <c r="D25">
        <v>0.94730000000000003</v>
      </c>
      <c r="E25">
        <v>5.3999999999999999E-2</v>
      </c>
      <c r="F25">
        <v>7.4872000000000003E-3</v>
      </c>
      <c r="G25">
        <v>0.94880408000000005</v>
      </c>
      <c r="H25">
        <v>0.95131487999999997</v>
      </c>
      <c r="I25">
        <v>0</v>
      </c>
      <c r="J25">
        <v>5.6899999999999999E-2</v>
      </c>
      <c r="K25" s="3">
        <v>2.1629654700000001</v>
      </c>
      <c r="L25">
        <v>-1.0092210000000001E-2</v>
      </c>
      <c r="M25">
        <v>-1.6000000000000001E-3</v>
      </c>
      <c r="N25">
        <v>2.3999999999999998E-3</v>
      </c>
      <c r="O25">
        <v>7.6985899999999999E-3</v>
      </c>
      <c r="P25">
        <v>-1.4701099999999999E-3</v>
      </c>
      <c r="Q25">
        <v>1.4701099999999999E-3</v>
      </c>
      <c r="R25">
        <v>-3.8059999999999998E-4</v>
      </c>
      <c r="S25">
        <v>1.95</v>
      </c>
      <c r="T25">
        <v>0.05</v>
      </c>
      <c r="U25">
        <v>1.9506409199999999</v>
      </c>
      <c r="V25">
        <v>-1.57621E-3</v>
      </c>
      <c r="W25">
        <v>2.3956200000000002E-3</v>
      </c>
      <c r="X25">
        <v>0</v>
      </c>
      <c r="Y25" s="7">
        <v>0.94726710999999997</v>
      </c>
      <c r="Z25" s="7">
        <v>5.3983339999999998E-2</v>
      </c>
      <c r="AA25" s="7">
        <v>0.94880408000000005</v>
      </c>
    </row>
    <row r="26" spans="1:27" x14ac:dyDescent="0.25">
      <c r="A26">
        <v>0</v>
      </c>
      <c r="B26">
        <v>7.4999999999999997E-2</v>
      </c>
      <c r="C26">
        <v>25</v>
      </c>
      <c r="D26">
        <v>0.94569999999999999</v>
      </c>
      <c r="E26">
        <v>5.6399999999999999E-2</v>
      </c>
      <c r="F26">
        <v>9.5584499999999996E-3</v>
      </c>
      <c r="G26">
        <v>0.94736997000000001</v>
      </c>
      <c r="H26">
        <v>0.95131487999999997</v>
      </c>
      <c r="I26">
        <v>0</v>
      </c>
      <c r="J26">
        <v>5.9499999999999997E-2</v>
      </c>
      <c r="K26" s="3">
        <v>2.1527429499999999</v>
      </c>
      <c r="L26">
        <v>-1.0222520000000001E-2</v>
      </c>
      <c r="M26">
        <v>-2E-3</v>
      </c>
      <c r="N26">
        <v>3.0999999999999999E-3</v>
      </c>
      <c r="O26">
        <v>1.135955E-2</v>
      </c>
      <c r="P26">
        <v>-1.8768000000000001E-3</v>
      </c>
      <c r="Q26">
        <v>1.8768000000000001E-3</v>
      </c>
      <c r="R26">
        <v>-4.0669000000000002E-4</v>
      </c>
      <c r="S26">
        <v>1.95</v>
      </c>
      <c r="T26">
        <v>0.05</v>
      </c>
      <c r="U26">
        <v>1.9506409199999999</v>
      </c>
      <c r="V26">
        <v>-1.9804800000000002E-3</v>
      </c>
      <c r="W26">
        <v>3.0790100000000001E-3</v>
      </c>
      <c r="X26">
        <v>0</v>
      </c>
      <c r="Y26" s="7">
        <v>0.9456909</v>
      </c>
      <c r="Z26" s="7">
        <v>5.6378959999999999E-2</v>
      </c>
      <c r="AA26" s="7">
        <v>0.94736997000000001</v>
      </c>
    </row>
    <row r="27" spans="1:27" x14ac:dyDescent="0.25">
      <c r="A27">
        <v>0</v>
      </c>
      <c r="B27">
        <v>7.8E-2</v>
      </c>
      <c r="C27">
        <v>26</v>
      </c>
      <c r="D27">
        <v>0.94369999999999998</v>
      </c>
      <c r="E27">
        <v>5.9499999999999997E-2</v>
      </c>
      <c r="F27">
        <v>1.17324E-2</v>
      </c>
      <c r="G27">
        <v>0.94558162000000001</v>
      </c>
      <c r="H27">
        <v>0.95131487999999997</v>
      </c>
      <c r="I27">
        <v>0</v>
      </c>
      <c r="J27">
        <v>6.2899999999999998E-2</v>
      </c>
      <c r="K27" s="3">
        <v>2.1423904199999999</v>
      </c>
      <c r="L27">
        <v>-1.035254E-2</v>
      </c>
      <c r="M27">
        <v>-2.3999999999999998E-3</v>
      </c>
      <c r="N27">
        <v>3.8E-3</v>
      </c>
      <c r="O27">
        <v>1.585315E-2</v>
      </c>
      <c r="P27">
        <v>-2.30365E-3</v>
      </c>
      <c r="Q27">
        <v>2.30365E-3</v>
      </c>
      <c r="R27">
        <v>-4.2684999999999999E-4</v>
      </c>
      <c r="S27">
        <v>1.95</v>
      </c>
      <c r="T27">
        <v>0.05</v>
      </c>
      <c r="U27">
        <v>1.9506409199999999</v>
      </c>
      <c r="V27">
        <v>-2.3911700000000002E-3</v>
      </c>
      <c r="W27">
        <v>3.8045700000000002E-3</v>
      </c>
      <c r="X27">
        <v>0</v>
      </c>
      <c r="Y27" s="7">
        <v>0.94371042000000005</v>
      </c>
      <c r="Z27" s="7">
        <v>5.9457969999999999E-2</v>
      </c>
      <c r="AA27" s="7">
        <v>0.94558162000000001</v>
      </c>
    </row>
    <row r="28" spans="1:27" x14ac:dyDescent="0.25">
      <c r="A28">
        <v>0</v>
      </c>
      <c r="B28">
        <v>8.1000000000000003E-2</v>
      </c>
      <c r="C28">
        <v>27</v>
      </c>
      <c r="D28">
        <v>0.94130000000000003</v>
      </c>
      <c r="E28">
        <v>6.3299999999999995E-2</v>
      </c>
      <c r="F28">
        <v>1.3982420000000001E-2</v>
      </c>
      <c r="G28">
        <v>0.94344267000000004</v>
      </c>
      <c r="H28">
        <v>0.95131487999999997</v>
      </c>
      <c r="I28">
        <v>0</v>
      </c>
      <c r="J28">
        <v>6.7100000000000007E-2</v>
      </c>
      <c r="K28" s="3">
        <v>2.1319084799999999</v>
      </c>
      <c r="L28">
        <v>-1.048194E-2</v>
      </c>
      <c r="M28">
        <v>-2.8E-3</v>
      </c>
      <c r="N28">
        <v>4.5999999999999999E-3</v>
      </c>
      <c r="O28">
        <v>2.1208520000000002E-2</v>
      </c>
      <c r="P28">
        <v>-2.74544E-3</v>
      </c>
      <c r="Q28">
        <v>2.74544E-3</v>
      </c>
      <c r="R28">
        <v>-4.4179000000000001E-4</v>
      </c>
      <c r="S28">
        <v>1.95</v>
      </c>
      <c r="T28">
        <v>0.05</v>
      </c>
      <c r="U28">
        <v>1.9506409199999999</v>
      </c>
      <c r="V28">
        <v>-2.8014699999999999E-3</v>
      </c>
      <c r="W28">
        <v>4.5641800000000001E-3</v>
      </c>
      <c r="X28">
        <v>0</v>
      </c>
      <c r="Y28" s="7">
        <v>0.94131925000000005</v>
      </c>
      <c r="Z28" s="7">
        <v>6.3262540000000006E-2</v>
      </c>
      <c r="AA28" s="7">
        <v>0.94344267000000004</v>
      </c>
    </row>
    <row r="29" spans="1:27" x14ac:dyDescent="0.25">
      <c r="A29">
        <v>0</v>
      </c>
      <c r="B29">
        <v>8.4000000000000005E-2</v>
      </c>
      <c r="C29">
        <v>28</v>
      </c>
      <c r="D29">
        <v>0.9385</v>
      </c>
      <c r="E29">
        <v>6.7799999999999999E-2</v>
      </c>
      <c r="F29">
        <v>1.6284239999999998E-2</v>
      </c>
      <c r="G29">
        <v>0.94096550000000001</v>
      </c>
      <c r="H29">
        <v>0.95131487999999997</v>
      </c>
      <c r="I29">
        <v>0</v>
      </c>
      <c r="J29">
        <v>7.2099999999999997E-2</v>
      </c>
      <c r="K29" s="3">
        <v>2.12129813</v>
      </c>
      <c r="L29">
        <v>-1.0610339999999999E-2</v>
      </c>
      <c r="M29">
        <v>-3.2000000000000002E-3</v>
      </c>
      <c r="N29">
        <v>5.4000000000000003E-3</v>
      </c>
      <c r="O29">
        <v>2.7445500000000001E-2</v>
      </c>
      <c r="P29">
        <v>-3.1974E-3</v>
      </c>
      <c r="Q29">
        <v>3.1974E-3</v>
      </c>
      <c r="R29">
        <v>-4.5196E-4</v>
      </c>
      <c r="S29">
        <v>1.95</v>
      </c>
      <c r="T29">
        <v>0.05</v>
      </c>
      <c r="U29">
        <v>1.9506409199999999</v>
      </c>
      <c r="V29">
        <v>-3.2054000000000002E-3</v>
      </c>
      <c r="W29">
        <v>5.3502699999999999E-3</v>
      </c>
      <c r="X29">
        <v>0</v>
      </c>
      <c r="Y29" s="7">
        <v>0.93851777000000003</v>
      </c>
      <c r="Z29" s="7">
        <v>6.7826719999999993E-2</v>
      </c>
      <c r="AA29" s="7">
        <v>0.94096550000000001</v>
      </c>
    </row>
    <row r="30" spans="1:27" x14ac:dyDescent="0.25">
      <c r="A30">
        <v>0</v>
      </c>
      <c r="B30">
        <v>8.6999999999999994E-2</v>
      </c>
      <c r="C30">
        <v>29</v>
      </c>
      <c r="D30">
        <v>0.93530000000000002</v>
      </c>
      <c r="E30">
        <v>7.3200000000000001E-2</v>
      </c>
      <c r="F30">
        <v>1.8615280000000001E-2</v>
      </c>
      <c r="G30">
        <v>0.93817061999999996</v>
      </c>
      <c r="H30">
        <v>0.95131487999999997</v>
      </c>
      <c r="I30">
        <v>0</v>
      </c>
      <c r="J30">
        <v>7.8100000000000003E-2</v>
      </c>
      <c r="K30" s="3">
        <v>2.1105607900000001</v>
      </c>
      <c r="L30">
        <v>-1.073734E-2</v>
      </c>
      <c r="M30">
        <v>-3.5999999999999999E-3</v>
      </c>
      <c r="N30">
        <v>6.1999999999999998E-3</v>
      </c>
      <c r="O30">
        <v>3.4575290000000002E-2</v>
      </c>
      <c r="P30">
        <v>-3.6551000000000001E-3</v>
      </c>
      <c r="Q30">
        <v>3.6551000000000001E-3</v>
      </c>
      <c r="R30">
        <v>-4.5770000000000001E-4</v>
      </c>
      <c r="S30">
        <v>1.95</v>
      </c>
      <c r="T30">
        <v>0.05</v>
      </c>
      <c r="U30">
        <v>1.9506409199999999</v>
      </c>
      <c r="V30">
        <v>-3.5975899999999999E-3</v>
      </c>
      <c r="W30">
        <v>6.1555899999999998E-3</v>
      </c>
      <c r="X30">
        <v>0</v>
      </c>
      <c r="Y30" s="7">
        <v>0.93531238000000005</v>
      </c>
      <c r="Z30" s="7">
        <v>7.3176989999999997E-2</v>
      </c>
      <c r="AA30" s="7">
        <v>0.93817061999999996</v>
      </c>
    </row>
    <row r="31" spans="1:27" x14ac:dyDescent="0.25">
      <c r="A31">
        <v>0</v>
      </c>
      <c r="B31">
        <v>0.09</v>
      </c>
      <c r="C31">
        <v>30</v>
      </c>
      <c r="D31">
        <v>0.93169999999999997</v>
      </c>
      <c r="E31">
        <v>7.9299999999999995E-2</v>
      </c>
      <c r="F31">
        <v>2.0954239999999999E-2</v>
      </c>
      <c r="G31">
        <v>0.93508614999999995</v>
      </c>
      <c r="H31">
        <v>0.95131487999999997</v>
      </c>
      <c r="I31">
        <v>0</v>
      </c>
      <c r="J31">
        <v>8.4900000000000003E-2</v>
      </c>
      <c r="K31" s="3">
        <v>2.0996982800000001</v>
      </c>
      <c r="L31">
        <v>-1.0862510000000001E-2</v>
      </c>
      <c r="M31">
        <v>-4.0000000000000001E-3</v>
      </c>
      <c r="N31">
        <v>7.0000000000000001E-3</v>
      </c>
      <c r="O31">
        <v>4.260092E-2</v>
      </c>
      <c r="P31">
        <v>-4.1143600000000001E-3</v>
      </c>
      <c r="Q31">
        <v>4.1143600000000001E-3</v>
      </c>
      <c r="R31">
        <v>-4.5925000000000002E-4</v>
      </c>
      <c r="S31">
        <v>1.95</v>
      </c>
      <c r="T31">
        <v>0.05</v>
      </c>
      <c r="U31">
        <v>1.9506409199999999</v>
      </c>
      <c r="V31">
        <v>-3.9732600000000002E-3</v>
      </c>
      <c r="W31">
        <v>6.9730900000000004E-3</v>
      </c>
      <c r="X31">
        <v>0</v>
      </c>
      <c r="Y31" s="7">
        <v>0.93171479000000001</v>
      </c>
      <c r="Z31" s="7">
        <v>7.9332570000000005E-2</v>
      </c>
      <c r="AA31" s="7">
        <v>0.93508614999999995</v>
      </c>
    </row>
    <row r="32" spans="1:27" x14ac:dyDescent="0.25">
      <c r="A32">
        <v>0</v>
      </c>
      <c r="B32">
        <v>9.2999999999999999E-2</v>
      </c>
      <c r="C32">
        <v>31</v>
      </c>
      <c r="D32">
        <v>0.92769999999999997</v>
      </c>
      <c r="E32">
        <v>8.6300000000000002E-2</v>
      </c>
      <c r="F32">
        <v>2.328086E-2</v>
      </c>
      <c r="G32">
        <v>0.93174729000000001</v>
      </c>
      <c r="H32">
        <v>0.95131487999999997</v>
      </c>
      <c r="I32">
        <v>0</v>
      </c>
      <c r="J32">
        <v>9.2799999999999994E-2</v>
      </c>
      <c r="K32" s="3">
        <v>2.0887129</v>
      </c>
      <c r="L32">
        <v>-1.0985379999999999E-2</v>
      </c>
      <c r="M32">
        <v>-4.3E-3</v>
      </c>
      <c r="N32">
        <v>7.7999999999999996E-3</v>
      </c>
      <c r="O32">
        <v>5.151766E-2</v>
      </c>
      <c r="P32">
        <v>-4.5711900000000001E-3</v>
      </c>
      <c r="Q32">
        <v>4.5711900000000001E-3</v>
      </c>
      <c r="R32">
        <v>-4.5682999999999997E-4</v>
      </c>
      <c r="S32">
        <v>1.95</v>
      </c>
      <c r="T32">
        <v>0.05</v>
      </c>
      <c r="U32">
        <v>1.9506409199999999</v>
      </c>
      <c r="V32">
        <v>-4.3281099999999996E-3</v>
      </c>
      <c r="W32">
        <v>7.7958799999999998E-3</v>
      </c>
      <c r="X32">
        <v>0</v>
      </c>
      <c r="Y32" s="7">
        <v>0.92774153000000004</v>
      </c>
      <c r="Z32" s="7">
        <v>8.6305660000000006E-2</v>
      </c>
      <c r="AA32" s="7">
        <v>0.93174729000000001</v>
      </c>
    </row>
    <row r="33" spans="1:27" x14ac:dyDescent="0.25">
      <c r="A33">
        <v>0</v>
      </c>
      <c r="B33">
        <v>9.6000000000000002E-2</v>
      </c>
      <c r="C33">
        <v>32</v>
      </c>
      <c r="D33">
        <v>0.9234</v>
      </c>
      <c r="E33">
        <v>9.4100000000000003E-2</v>
      </c>
      <c r="F33">
        <v>2.5575770000000001E-2</v>
      </c>
      <c r="G33">
        <v>0.92819580000000002</v>
      </c>
      <c r="H33">
        <v>0.95131487999999997</v>
      </c>
      <c r="I33">
        <v>0</v>
      </c>
      <c r="J33">
        <v>0.1016</v>
      </c>
      <c r="K33" s="3">
        <v>2.0776074100000002</v>
      </c>
      <c r="L33">
        <v>-1.1105490000000001E-2</v>
      </c>
      <c r="M33">
        <v>-4.7000000000000002E-3</v>
      </c>
      <c r="N33">
        <v>8.6E-3</v>
      </c>
      <c r="O33">
        <v>6.1313369999999999E-2</v>
      </c>
      <c r="P33">
        <v>-5.0217899999999999E-3</v>
      </c>
      <c r="Q33">
        <v>5.0217899999999999E-3</v>
      </c>
      <c r="R33">
        <v>-4.506E-4</v>
      </c>
      <c r="S33">
        <v>1.95</v>
      </c>
      <c r="T33">
        <v>0.05</v>
      </c>
      <c r="U33">
        <v>1.9506409199999999</v>
      </c>
      <c r="V33">
        <v>-4.6583500000000003E-3</v>
      </c>
      <c r="W33">
        <v>8.6171800000000003E-3</v>
      </c>
      <c r="X33">
        <v>0</v>
      </c>
      <c r="Y33" s="7">
        <v>0.92341342000000004</v>
      </c>
      <c r="Z33" s="7">
        <v>9.4101539999999997E-2</v>
      </c>
      <c r="AA33" s="7">
        <v>0.92819580000000002</v>
      </c>
    </row>
    <row r="34" spans="1:27" x14ac:dyDescent="0.25">
      <c r="A34">
        <v>0</v>
      </c>
      <c r="B34">
        <v>9.9000000000000005E-2</v>
      </c>
      <c r="C34">
        <v>33</v>
      </c>
      <c r="D34">
        <v>0.91879999999999995</v>
      </c>
      <c r="E34">
        <v>0.1027</v>
      </c>
      <c r="F34">
        <v>2.7820439999999998E-2</v>
      </c>
      <c r="G34">
        <v>0.92447931999999999</v>
      </c>
      <c r="H34">
        <v>0.95131487999999997</v>
      </c>
      <c r="I34">
        <v>0</v>
      </c>
      <c r="J34">
        <v>0.1113</v>
      </c>
      <c r="K34" s="3">
        <v>2.0663850899999998</v>
      </c>
      <c r="L34">
        <v>-1.1222319999999999E-2</v>
      </c>
      <c r="M34">
        <v>-5.0000000000000001E-3</v>
      </c>
      <c r="N34">
        <v>9.4000000000000004E-3</v>
      </c>
      <c r="O34">
        <v>7.1968809999999994E-2</v>
      </c>
      <c r="P34">
        <v>-5.4625300000000002E-3</v>
      </c>
      <c r="Q34">
        <v>5.4625300000000002E-3</v>
      </c>
      <c r="R34">
        <v>-4.4074000000000001E-4</v>
      </c>
      <c r="S34">
        <v>1.95</v>
      </c>
      <c r="T34">
        <v>0.05</v>
      </c>
      <c r="U34">
        <v>1.9506409199999999</v>
      </c>
      <c r="V34">
        <v>-4.9606099999999998E-3</v>
      </c>
      <c r="W34">
        <v>9.4303000000000008E-3</v>
      </c>
      <c r="X34">
        <v>0</v>
      </c>
      <c r="Y34" s="7">
        <v>0.91875507000000001</v>
      </c>
      <c r="Z34" s="7">
        <v>0.10271872</v>
      </c>
      <c r="AA34" s="7">
        <v>0.92447931999999999</v>
      </c>
    </row>
    <row r="35" spans="1:27" x14ac:dyDescent="0.25">
      <c r="A35">
        <v>0</v>
      </c>
      <c r="B35">
        <v>0.10199999999999999</v>
      </c>
      <c r="C35">
        <v>34</v>
      </c>
      <c r="D35">
        <v>0.91379999999999995</v>
      </c>
      <c r="E35">
        <v>0.11210000000000001</v>
      </c>
      <c r="F35">
        <v>2.9997159999999998E-2</v>
      </c>
      <c r="G35">
        <v>0.92065070000000004</v>
      </c>
      <c r="H35">
        <v>0.95131487999999997</v>
      </c>
      <c r="I35">
        <v>0</v>
      </c>
      <c r="J35">
        <v>0.1221</v>
      </c>
      <c r="K35" s="3">
        <v>2.0550497299999999</v>
      </c>
      <c r="L35">
        <v>-1.1335370000000001E-2</v>
      </c>
      <c r="M35">
        <v>-5.1999999999999998E-3</v>
      </c>
      <c r="N35">
        <v>1.0200000000000001E-2</v>
      </c>
      <c r="O35">
        <v>8.3457939999999994E-2</v>
      </c>
      <c r="P35">
        <v>-5.8899299999999998E-3</v>
      </c>
      <c r="Q35">
        <v>5.8899299999999998E-3</v>
      </c>
      <c r="R35">
        <v>-4.2739999999999998E-4</v>
      </c>
      <c r="S35">
        <v>1.95</v>
      </c>
      <c r="T35">
        <v>0.05</v>
      </c>
      <c r="U35">
        <v>1.9506409199999999</v>
      </c>
      <c r="V35">
        <v>-5.2320300000000004E-3</v>
      </c>
      <c r="W35">
        <v>1.022869E-2</v>
      </c>
      <c r="X35">
        <v>0</v>
      </c>
      <c r="Y35" s="7">
        <v>0.91379445999999998</v>
      </c>
      <c r="Z35" s="7">
        <v>0.11214902</v>
      </c>
      <c r="AA35" s="7">
        <v>0.92065070000000004</v>
      </c>
    </row>
    <row r="36" spans="1:27" x14ac:dyDescent="0.25">
      <c r="A36">
        <v>0</v>
      </c>
      <c r="B36">
        <v>0.105</v>
      </c>
      <c r="C36">
        <v>35</v>
      </c>
      <c r="D36">
        <v>0.90859999999999996</v>
      </c>
      <c r="E36">
        <v>0.12239999999999999</v>
      </c>
      <c r="F36">
        <v>3.2089050000000001E-2</v>
      </c>
      <c r="G36">
        <v>0.91676714000000004</v>
      </c>
      <c r="H36">
        <v>0.95131487999999997</v>
      </c>
      <c r="I36">
        <v>0</v>
      </c>
      <c r="J36">
        <v>0.13389999999999999</v>
      </c>
      <c r="K36" s="3">
        <v>2.0436056200000001</v>
      </c>
      <c r="L36">
        <v>-1.144411E-2</v>
      </c>
      <c r="M36">
        <v>-5.4999999999999997E-3</v>
      </c>
      <c r="N36">
        <v>1.0999999999999999E-2</v>
      </c>
      <c r="O36">
        <v>9.574829E-2</v>
      </c>
      <c r="P36">
        <v>-6.3006700000000004E-3</v>
      </c>
      <c r="Q36">
        <v>6.3006700000000004E-3</v>
      </c>
      <c r="R36">
        <v>-4.1073999999999999E-4</v>
      </c>
      <c r="S36">
        <v>1.95</v>
      </c>
      <c r="T36">
        <v>0.05</v>
      </c>
      <c r="U36">
        <v>1.9506409199999999</v>
      </c>
      <c r="V36">
        <v>-5.47016E-3</v>
      </c>
      <c r="W36">
        <v>1.1005910000000001E-2</v>
      </c>
      <c r="X36">
        <v>0</v>
      </c>
      <c r="Y36" s="7">
        <v>0.90856243000000003</v>
      </c>
      <c r="Z36" s="7">
        <v>0.12237771</v>
      </c>
      <c r="AA36" s="7">
        <v>0.91676714000000004</v>
      </c>
    </row>
    <row r="37" spans="1:27" x14ac:dyDescent="0.25">
      <c r="A37">
        <v>0</v>
      </c>
      <c r="B37">
        <v>0.108</v>
      </c>
      <c r="C37">
        <v>36</v>
      </c>
      <c r="D37">
        <v>0.90310000000000001</v>
      </c>
      <c r="E37">
        <v>0.13339999999999999</v>
      </c>
      <c r="F37">
        <v>3.4080109999999997E-2</v>
      </c>
      <c r="G37">
        <v>0.91288928000000003</v>
      </c>
      <c r="H37">
        <v>0.95131487999999997</v>
      </c>
      <c r="I37">
        <v>0</v>
      </c>
      <c r="J37">
        <v>0.14660000000000001</v>
      </c>
      <c r="K37" s="3">
        <v>2.0320576099999998</v>
      </c>
      <c r="L37">
        <v>-1.1548009999999999E-2</v>
      </c>
      <c r="M37">
        <v>-5.7000000000000002E-3</v>
      </c>
      <c r="N37">
        <v>1.18E-2</v>
      </c>
      <c r="O37">
        <v>0.10880123</v>
      </c>
      <c r="P37">
        <v>-6.6916099999999997E-3</v>
      </c>
      <c r="Q37">
        <v>6.6916099999999997E-3</v>
      </c>
      <c r="R37">
        <v>-3.9093999999999999E-4</v>
      </c>
      <c r="S37">
        <v>1.95</v>
      </c>
      <c r="T37">
        <v>0.05</v>
      </c>
      <c r="U37">
        <v>1.9506409199999999</v>
      </c>
      <c r="V37">
        <v>-5.6730499999999998E-3</v>
      </c>
      <c r="W37">
        <v>1.1755669999999999E-2</v>
      </c>
      <c r="X37">
        <v>0</v>
      </c>
      <c r="Y37" s="7">
        <v>0.90309227000000003</v>
      </c>
      <c r="Z37" s="7">
        <v>0.13338362000000001</v>
      </c>
      <c r="AA37" s="7">
        <v>0.91288928000000003</v>
      </c>
    </row>
    <row r="38" spans="1:27" x14ac:dyDescent="0.25">
      <c r="A38">
        <v>0</v>
      </c>
      <c r="B38">
        <v>0.111</v>
      </c>
      <c r="C38">
        <v>37</v>
      </c>
      <c r="D38">
        <v>0.89739999999999998</v>
      </c>
      <c r="E38">
        <v>0.14510000000000001</v>
      </c>
      <c r="F38">
        <v>3.5955250000000001E-2</v>
      </c>
      <c r="G38">
        <v>0.90908012000000005</v>
      </c>
      <c r="H38">
        <v>0.95131487999999997</v>
      </c>
      <c r="I38">
        <v>0</v>
      </c>
      <c r="J38">
        <v>0.1603</v>
      </c>
      <c r="K38" s="3">
        <v>2.0204110499999999</v>
      </c>
      <c r="L38">
        <v>-1.164656E-2</v>
      </c>
      <c r="M38">
        <v>-5.7999999999999996E-3</v>
      </c>
      <c r="N38">
        <v>1.2500000000000001E-2</v>
      </c>
      <c r="O38">
        <v>0.12257236000000001</v>
      </c>
      <c r="P38">
        <v>-7.0597999999999998E-3</v>
      </c>
      <c r="Q38">
        <v>7.0597999999999998E-3</v>
      </c>
      <c r="R38">
        <v>-3.6818000000000002E-4</v>
      </c>
      <c r="S38">
        <v>1.95</v>
      </c>
      <c r="T38">
        <v>0.05</v>
      </c>
      <c r="U38">
        <v>1.9506409199999999</v>
      </c>
      <c r="V38">
        <v>-5.8391800000000002E-3</v>
      </c>
      <c r="W38">
        <v>1.2471889999999999E-2</v>
      </c>
      <c r="X38">
        <v>0</v>
      </c>
      <c r="Y38" s="7">
        <v>0.89741921999999996</v>
      </c>
      <c r="Z38" s="7">
        <v>0.14513928000000001</v>
      </c>
      <c r="AA38" s="7">
        <v>0.90908012000000005</v>
      </c>
    </row>
    <row r="39" spans="1:27" x14ac:dyDescent="0.25">
      <c r="A39">
        <v>0</v>
      </c>
      <c r="B39">
        <v>0.114</v>
      </c>
      <c r="C39">
        <v>38</v>
      </c>
      <c r="D39">
        <v>0.89159999999999995</v>
      </c>
      <c r="E39">
        <v>0.15759999999999999</v>
      </c>
      <c r="F39">
        <v>3.7700360000000002E-2</v>
      </c>
      <c r="G39">
        <v>0.90540390999999998</v>
      </c>
      <c r="H39">
        <v>0.95131487999999997</v>
      </c>
      <c r="I39">
        <v>0</v>
      </c>
      <c r="J39">
        <v>0.17499999999999999</v>
      </c>
      <c r="K39" s="3">
        <v>2.0086718299999999</v>
      </c>
      <c r="L39">
        <v>-1.173922E-2</v>
      </c>
      <c r="M39">
        <v>-6.0000000000000001E-3</v>
      </c>
      <c r="N39">
        <v>1.3100000000000001E-2</v>
      </c>
      <c r="O39">
        <v>0.13701188</v>
      </c>
      <c r="P39">
        <v>-7.4024499999999997E-3</v>
      </c>
      <c r="Q39">
        <v>7.4024499999999997E-3</v>
      </c>
      <c r="R39">
        <v>-3.4265000000000001E-4</v>
      </c>
      <c r="S39">
        <v>1.95</v>
      </c>
      <c r="T39">
        <v>0.05</v>
      </c>
      <c r="U39">
        <v>1.9506409199999999</v>
      </c>
      <c r="V39">
        <v>-5.9675199999999996E-3</v>
      </c>
      <c r="W39">
        <v>1.3148699999999999E-2</v>
      </c>
      <c r="X39">
        <v>0</v>
      </c>
      <c r="Y39" s="7">
        <v>0.89158004000000002</v>
      </c>
      <c r="Z39" s="7">
        <v>0.15761116999999999</v>
      </c>
      <c r="AA39" s="7">
        <v>0.90540390999999998</v>
      </c>
    </row>
    <row r="40" spans="1:27" x14ac:dyDescent="0.25">
      <c r="A40">
        <v>0</v>
      </c>
      <c r="B40">
        <v>0.11700000000000001</v>
      </c>
      <c r="C40">
        <v>39</v>
      </c>
      <c r="D40">
        <v>0.88560000000000005</v>
      </c>
      <c r="E40">
        <v>0.17080000000000001</v>
      </c>
      <c r="F40">
        <v>3.930239E-2</v>
      </c>
      <c r="G40">
        <v>0.90192486000000005</v>
      </c>
      <c r="H40">
        <v>0.95131487999999997</v>
      </c>
      <c r="I40">
        <v>0</v>
      </c>
      <c r="J40">
        <v>0.1905</v>
      </c>
      <c r="K40" s="3">
        <v>1.9968463400000001</v>
      </c>
      <c r="L40">
        <v>-1.1825499999999999E-2</v>
      </c>
      <c r="M40">
        <v>-6.1000000000000004E-3</v>
      </c>
      <c r="N40">
        <v>1.38E-2</v>
      </c>
      <c r="O40">
        <v>0.15206499000000001</v>
      </c>
      <c r="P40">
        <v>-7.7170099999999998E-3</v>
      </c>
      <c r="Q40">
        <v>7.7170099999999998E-3</v>
      </c>
      <c r="R40">
        <v>-3.1456000000000002E-4</v>
      </c>
      <c r="S40">
        <v>1.95</v>
      </c>
      <c r="T40">
        <v>0.05</v>
      </c>
      <c r="U40">
        <v>1.9506409199999999</v>
      </c>
      <c r="V40">
        <v>-6.0574799999999996E-3</v>
      </c>
      <c r="W40">
        <v>1.3780529999999999E-2</v>
      </c>
      <c r="X40">
        <v>0</v>
      </c>
      <c r="Y40" s="7">
        <v>0.88561250999999996</v>
      </c>
      <c r="Z40" s="7">
        <v>0.17075987000000001</v>
      </c>
      <c r="AA40" s="7">
        <v>0.90192486000000005</v>
      </c>
    </row>
    <row r="41" spans="1:27" x14ac:dyDescent="0.25">
      <c r="A41">
        <v>0</v>
      </c>
      <c r="B41">
        <v>0.12</v>
      </c>
      <c r="C41">
        <v>40</v>
      </c>
      <c r="D41">
        <v>0.87960000000000005</v>
      </c>
      <c r="E41">
        <v>0.1845</v>
      </c>
      <c r="F41">
        <v>4.074941E-2</v>
      </c>
      <c r="G41">
        <v>0.89870585000000003</v>
      </c>
      <c r="H41">
        <v>0.95131487999999997</v>
      </c>
      <c r="I41">
        <v>0</v>
      </c>
      <c r="J41">
        <v>0.20680000000000001</v>
      </c>
      <c r="K41" s="3">
        <v>1.9849414400000001</v>
      </c>
      <c r="L41">
        <v>-1.190489E-2</v>
      </c>
      <c r="M41">
        <v>-6.1000000000000004E-3</v>
      </c>
      <c r="N41">
        <v>1.44E-2</v>
      </c>
      <c r="O41">
        <v>0.16767230999999999</v>
      </c>
      <c r="P41">
        <v>-8.0011300000000004E-3</v>
      </c>
      <c r="Q41">
        <v>8.0011300000000004E-3</v>
      </c>
      <c r="R41">
        <v>-2.8412000000000001E-4</v>
      </c>
      <c r="S41">
        <v>1.95</v>
      </c>
      <c r="T41">
        <v>0.05</v>
      </c>
      <c r="U41">
        <v>1.9506409199999999</v>
      </c>
      <c r="V41">
        <v>-6.1089300000000003E-3</v>
      </c>
      <c r="W41">
        <v>1.4362089999999999E-2</v>
      </c>
      <c r="X41">
        <v>0</v>
      </c>
      <c r="Y41" s="7">
        <v>0.87955503000000002</v>
      </c>
      <c r="Z41" s="7">
        <v>0.18454039999999999</v>
      </c>
      <c r="AA41" s="7">
        <v>0.89870585000000003</v>
      </c>
    </row>
    <row r="42" spans="1:27" x14ac:dyDescent="0.25">
      <c r="A42">
        <v>0</v>
      </c>
      <c r="B42">
        <v>0.123</v>
      </c>
      <c r="C42">
        <v>41</v>
      </c>
      <c r="D42">
        <v>0.87339999999999995</v>
      </c>
      <c r="E42">
        <v>0.19889999999999999</v>
      </c>
      <c r="F42">
        <v>4.2030650000000003E-2</v>
      </c>
      <c r="G42">
        <v>0.89580705999999999</v>
      </c>
      <c r="H42">
        <v>0.95131487999999997</v>
      </c>
      <c r="I42">
        <v>0</v>
      </c>
      <c r="J42">
        <v>0.22389999999999999</v>
      </c>
      <c r="K42" s="3">
        <v>1.9729644900000001</v>
      </c>
      <c r="L42">
        <v>-1.197695E-2</v>
      </c>
      <c r="M42">
        <v>-6.1000000000000004E-3</v>
      </c>
      <c r="N42">
        <v>1.49E-2</v>
      </c>
      <c r="O42">
        <v>0.18377035999999999</v>
      </c>
      <c r="P42">
        <v>-8.2527E-3</v>
      </c>
      <c r="Q42">
        <v>8.2527E-3</v>
      </c>
      <c r="R42">
        <v>-2.5157000000000001E-4</v>
      </c>
      <c r="S42">
        <v>1.95</v>
      </c>
      <c r="T42">
        <v>0.05</v>
      </c>
      <c r="U42">
        <v>1.9506409199999999</v>
      </c>
      <c r="V42">
        <v>-6.1221799999999996E-3</v>
      </c>
      <c r="W42">
        <v>1.4888459999999999E-2</v>
      </c>
      <c r="X42">
        <v>0</v>
      </c>
      <c r="Y42" s="7">
        <v>0.8734461</v>
      </c>
      <c r="Z42" s="7">
        <v>0.19890248999999999</v>
      </c>
      <c r="AA42" s="7">
        <v>0.89580705999999999</v>
      </c>
    </row>
    <row r="43" spans="1:27" x14ac:dyDescent="0.25">
      <c r="A43">
        <v>0</v>
      </c>
      <c r="B43">
        <v>0.126</v>
      </c>
      <c r="C43">
        <v>42</v>
      </c>
      <c r="D43">
        <v>0.86729999999999996</v>
      </c>
      <c r="E43">
        <v>0.21379999999999999</v>
      </c>
      <c r="F43">
        <v>4.3136620000000001E-2</v>
      </c>
      <c r="G43">
        <v>0.89328457999999999</v>
      </c>
      <c r="H43">
        <v>0.95131487999999997</v>
      </c>
      <c r="I43">
        <v>0</v>
      </c>
      <c r="J43">
        <v>0.2417</v>
      </c>
      <c r="K43" s="3">
        <v>1.9609232599999999</v>
      </c>
      <c r="L43">
        <v>-1.204123E-2</v>
      </c>
      <c r="M43">
        <v>-6.1000000000000004E-3</v>
      </c>
      <c r="N43">
        <v>1.54E-2</v>
      </c>
      <c r="O43">
        <v>0.20029200999999999</v>
      </c>
      <c r="P43">
        <v>-8.4698599999999992E-3</v>
      </c>
      <c r="Q43">
        <v>8.4698599999999992E-3</v>
      </c>
      <c r="R43">
        <v>-2.1715999999999999E-4</v>
      </c>
      <c r="S43">
        <v>1.95</v>
      </c>
      <c r="T43">
        <v>0.05</v>
      </c>
      <c r="U43">
        <v>1.9506409199999999</v>
      </c>
      <c r="V43">
        <v>-6.0979700000000003E-3</v>
      </c>
      <c r="W43">
        <v>1.535512E-2</v>
      </c>
      <c r="X43">
        <v>0</v>
      </c>
      <c r="Y43" s="7">
        <v>0.86732390999999998</v>
      </c>
      <c r="Z43" s="7">
        <v>0.21379095000000001</v>
      </c>
      <c r="AA43" s="7">
        <v>0.89328457999999999</v>
      </c>
    </row>
    <row r="44" spans="1:27" x14ac:dyDescent="0.25">
      <c r="A44">
        <v>0</v>
      </c>
      <c r="B44">
        <v>0.129</v>
      </c>
      <c r="C44">
        <v>43</v>
      </c>
      <c r="D44">
        <v>0.86119999999999997</v>
      </c>
      <c r="E44">
        <v>0.2291</v>
      </c>
      <c r="F44">
        <v>4.4059139999999997E-2</v>
      </c>
      <c r="G44">
        <v>0.89118911000000001</v>
      </c>
      <c r="H44">
        <v>0.95131487999999997</v>
      </c>
      <c r="I44">
        <v>0</v>
      </c>
      <c r="J44">
        <v>0.26</v>
      </c>
      <c r="K44" s="3">
        <v>1.9488259100000001</v>
      </c>
      <c r="L44">
        <v>-1.209735E-2</v>
      </c>
      <c r="M44">
        <v>-6.0000000000000001E-3</v>
      </c>
      <c r="N44">
        <v>1.5800000000000002E-2</v>
      </c>
      <c r="O44">
        <v>0.21716699</v>
      </c>
      <c r="P44">
        <v>-8.6509900000000008E-3</v>
      </c>
      <c r="Q44">
        <v>8.6509900000000008E-3</v>
      </c>
      <c r="R44">
        <v>-1.8113999999999999E-4</v>
      </c>
      <c r="S44">
        <v>1.95</v>
      </c>
      <c r="T44">
        <v>0.05</v>
      </c>
      <c r="U44">
        <v>1.9506409199999999</v>
      </c>
      <c r="V44">
        <v>-6.0374499999999998E-3</v>
      </c>
      <c r="W44">
        <v>1.5757980000000001E-2</v>
      </c>
      <c r="X44">
        <v>0</v>
      </c>
      <c r="Y44" s="7">
        <v>0.86122593999999997</v>
      </c>
      <c r="Z44" s="7">
        <v>0.22914606000000001</v>
      </c>
      <c r="AA44" s="7">
        <v>0.89118911000000001</v>
      </c>
    </row>
    <row r="45" spans="1:27" x14ac:dyDescent="0.25">
      <c r="A45">
        <v>0</v>
      </c>
      <c r="B45">
        <v>0.13200000000000001</v>
      </c>
      <c r="C45">
        <v>44</v>
      </c>
      <c r="D45">
        <v>0.85519999999999996</v>
      </c>
      <c r="E45">
        <v>0.24490000000000001</v>
      </c>
      <c r="F45">
        <v>4.4791379999999999E-2</v>
      </c>
      <c r="G45">
        <v>0.88956469000000005</v>
      </c>
      <c r="H45">
        <v>0.95131487999999997</v>
      </c>
      <c r="I45">
        <v>0</v>
      </c>
      <c r="J45">
        <v>0.27889999999999998</v>
      </c>
      <c r="K45" s="3">
        <v>1.9366809700000001</v>
      </c>
      <c r="L45">
        <v>-1.214494E-2</v>
      </c>
      <c r="M45">
        <v>-5.8999999999999999E-3</v>
      </c>
      <c r="N45">
        <v>1.61E-2</v>
      </c>
      <c r="O45">
        <v>0.23432242</v>
      </c>
      <c r="P45">
        <v>-8.7947700000000004E-3</v>
      </c>
      <c r="Q45">
        <v>8.7947700000000004E-3</v>
      </c>
      <c r="R45">
        <v>-1.4376999999999999E-4</v>
      </c>
      <c r="S45">
        <v>1.95</v>
      </c>
      <c r="T45">
        <v>0.05</v>
      </c>
      <c r="U45">
        <v>1.9506409199999999</v>
      </c>
      <c r="V45">
        <v>-5.9421600000000002E-3</v>
      </c>
      <c r="W45">
        <v>1.609346E-2</v>
      </c>
      <c r="X45">
        <v>0</v>
      </c>
      <c r="Y45" s="7">
        <v>0.85518848000000003</v>
      </c>
      <c r="Z45" s="7">
        <v>0.24490405000000001</v>
      </c>
      <c r="AA45" s="7">
        <v>0.88956469000000005</v>
      </c>
    </row>
    <row r="46" spans="1:27" x14ac:dyDescent="0.25">
      <c r="A46">
        <v>0</v>
      </c>
      <c r="B46">
        <v>0.13500000000000001</v>
      </c>
      <c r="C46">
        <v>45</v>
      </c>
      <c r="D46">
        <v>0.84919999999999995</v>
      </c>
      <c r="E46">
        <v>0.26100000000000001</v>
      </c>
      <c r="F46">
        <v>4.5327920000000001E-2</v>
      </c>
      <c r="G46">
        <v>0.88844752999999999</v>
      </c>
      <c r="H46">
        <v>0.95131487999999997</v>
      </c>
      <c r="I46">
        <v>0</v>
      </c>
      <c r="J46">
        <v>0.29820000000000002</v>
      </c>
      <c r="K46" s="3">
        <v>1.9244972499999999</v>
      </c>
      <c r="L46">
        <v>-1.218372E-2</v>
      </c>
      <c r="M46">
        <v>-5.7999999999999996E-3</v>
      </c>
      <c r="N46">
        <v>1.6400000000000001E-2</v>
      </c>
      <c r="O46">
        <v>0.25168334999999997</v>
      </c>
      <c r="P46">
        <v>-8.9001199999999992E-3</v>
      </c>
      <c r="Q46">
        <v>8.9001199999999992E-3</v>
      </c>
      <c r="R46">
        <v>-1.0535E-4</v>
      </c>
      <c r="S46">
        <v>1.95</v>
      </c>
      <c r="T46">
        <v>0.05</v>
      </c>
      <c r="U46">
        <v>1.9506409199999999</v>
      </c>
      <c r="V46">
        <v>-5.8139899999999998E-3</v>
      </c>
      <c r="W46">
        <v>1.635847E-2</v>
      </c>
      <c r="X46">
        <v>0</v>
      </c>
      <c r="Y46" s="7">
        <v>0.84924632</v>
      </c>
      <c r="Z46" s="7">
        <v>0.26099750999999999</v>
      </c>
      <c r="AA46" s="7">
        <v>0.88844752999999999</v>
      </c>
    </row>
    <row r="47" spans="1:27" x14ac:dyDescent="0.25">
      <c r="A47">
        <v>0</v>
      </c>
      <c r="B47">
        <v>0.13800000000000001</v>
      </c>
      <c r="C47">
        <v>46</v>
      </c>
      <c r="D47">
        <v>0.84340000000000004</v>
      </c>
      <c r="E47">
        <v>0.27739999999999998</v>
      </c>
      <c r="F47">
        <v>4.5664799999999998E-2</v>
      </c>
      <c r="G47">
        <v>0.88786511000000001</v>
      </c>
      <c r="H47">
        <v>0.95131487999999997</v>
      </c>
      <c r="I47">
        <v>0</v>
      </c>
      <c r="J47">
        <v>0.31769999999999998</v>
      </c>
      <c r="K47" s="3">
        <v>1.91228384</v>
      </c>
      <c r="L47">
        <v>-1.2213419999999999E-2</v>
      </c>
      <c r="M47">
        <v>-5.7000000000000002E-3</v>
      </c>
      <c r="N47">
        <v>1.66E-2</v>
      </c>
      <c r="O47">
        <v>0.26917331</v>
      </c>
      <c r="P47">
        <v>-8.9662600000000002E-3</v>
      </c>
      <c r="Q47">
        <v>8.9662600000000002E-3</v>
      </c>
      <c r="R47">
        <v>-6.6149999999999995E-5</v>
      </c>
      <c r="S47">
        <v>1.95</v>
      </c>
      <c r="T47">
        <v>0.05</v>
      </c>
      <c r="U47">
        <v>1.9506409199999999</v>
      </c>
      <c r="V47">
        <v>-5.6551500000000003E-3</v>
      </c>
      <c r="W47">
        <v>1.6550470000000001E-2</v>
      </c>
      <c r="X47">
        <v>0</v>
      </c>
      <c r="Y47" s="7">
        <v>0.84343234</v>
      </c>
      <c r="Z47" s="7">
        <v>0.27735598</v>
      </c>
      <c r="AA47" s="7">
        <v>0.88786511000000001</v>
      </c>
    </row>
    <row r="48" spans="1:27" x14ac:dyDescent="0.25">
      <c r="A48">
        <v>0</v>
      </c>
      <c r="B48">
        <v>0.14099999999999999</v>
      </c>
      <c r="C48">
        <v>47</v>
      </c>
      <c r="D48">
        <v>0.83779999999999999</v>
      </c>
      <c r="E48">
        <v>0.29389999999999999</v>
      </c>
      <c r="F48">
        <v>4.579954E-2</v>
      </c>
      <c r="G48">
        <v>0.88783535000000002</v>
      </c>
      <c r="H48">
        <v>0.95131487999999997</v>
      </c>
      <c r="I48">
        <v>0</v>
      </c>
      <c r="J48">
        <v>0.33739999999999998</v>
      </c>
      <c r="K48" s="3">
        <v>1.9000499900000001</v>
      </c>
      <c r="L48">
        <v>-1.2233849999999999E-2</v>
      </c>
      <c r="M48">
        <v>-5.4999999999999997E-3</v>
      </c>
      <c r="N48">
        <v>1.67E-2</v>
      </c>
      <c r="O48">
        <v>0.28671488000000001</v>
      </c>
      <c r="P48">
        <v>-8.9927199999999992E-3</v>
      </c>
      <c r="Q48">
        <v>8.9927199999999992E-3</v>
      </c>
      <c r="R48">
        <v>-2.6449999999999999E-5</v>
      </c>
      <c r="S48">
        <v>1.95</v>
      </c>
      <c r="T48">
        <v>0.05</v>
      </c>
      <c r="U48">
        <v>1.9506409199999999</v>
      </c>
      <c r="V48">
        <v>-5.4681599999999997E-3</v>
      </c>
      <c r="W48">
        <v>1.6667499999999998E-2</v>
      </c>
      <c r="X48">
        <v>0</v>
      </c>
      <c r="Y48" s="7">
        <v>0.83777718999999995</v>
      </c>
      <c r="Z48" s="7">
        <v>0.29390644999999999</v>
      </c>
      <c r="AA48" s="7">
        <v>0.88783535000000002</v>
      </c>
    </row>
    <row r="49" spans="1:27" x14ac:dyDescent="0.25">
      <c r="A49">
        <v>0</v>
      </c>
      <c r="B49">
        <v>0.14399999999999999</v>
      </c>
      <c r="C49">
        <v>48</v>
      </c>
      <c r="D49">
        <v>0.83230000000000004</v>
      </c>
      <c r="E49">
        <v>0.31059999999999999</v>
      </c>
      <c r="F49">
        <v>4.5731130000000002E-2</v>
      </c>
      <c r="G49">
        <v>0.88836619999999999</v>
      </c>
      <c r="H49">
        <v>0.95131487999999997</v>
      </c>
      <c r="I49">
        <v>0</v>
      </c>
      <c r="J49">
        <v>0.35709999999999997</v>
      </c>
      <c r="K49" s="3">
        <v>1.8878051199999999</v>
      </c>
      <c r="L49">
        <v>-1.224487E-2</v>
      </c>
      <c r="M49">
        <v>-5.3E-3</v>
      </c>
      <c r="N49">
        <v>1.67E-2</v>
      </c>
      <c r="O49">
        <v>0.30423023999999999</v>
      </c>
      <c r="P49">
        <v>-8.9792899999999991E-3</v>
      </c>
      <c r="Q49">
        <v>8.9792899999999991E-3</v>
      </c>
      <c r="R49">
        <v>1.343E-5</v>
      </c>
      <c r="S49">
        <v>1.95</v>
      </c>
      <c r="T49">
        <v>0.05</v>
      </c>
      <c r="U49">
        <v>1.9506409199999999</v>
      </c>
      <c r="V49">
        <v>-5.2557699999999999E-3</v>
      </c>
      <c r="W49">
        <v>1.6708219999999999E-2</v>
      </c>
      <c r="X49">
        <v>0</v>
      </c>
      <c r="Y49" s="7">
        <v>0.83230903000000001</v>
      </c>
      <c r="Z49" s="7">
        <v>0.31057394999999999</v>
      </c>
      <c r="AA49" s="7">
        <v>0.88836619999999999</v>
      </c>
    </row>
    <row r="50" spans="1:27" x14ac:dyDescent="0.25">
      <c r="A50">
        <v>0</v>
      </c>
      <c r="B50">
        <v>0.14699999999999999</v>
      </c>
      <c r="C50">
        <v>49</v>
      </c>
      <c r="D50">
        <v>0.82709999999999995</v>
      </c>
      <c r="E50">
        <v>0.32729999999999998</v>
      </c>
      <c r="F50">
        <v>4.546008E-2</v>
      </c>
      <c r="G50">
        <v>0.88945529000000001</v>
      </c>
      <c r="H50">
        <v>0.95131487999999997</v>
      </c>
      <c r="I50">
        <v>0</v>
      </c>
      <c r="J50">
        <v>0.37680000000000002</v>
      </c>
      <c r="K50" s="3">
        <v>1.8755586900000001</v>
      </c>
      <c r="L50">
        <v>-1.2246419999999999E-2</v>
      </c>
      <c r="M50">
        <v>-5.0000000000000001E-3</v>
      </c>
      <c r="N50">
        <v>1.67E-2</v>
      </c>
      <c r="O50">
        <v>0.32164178999999998</v>
      </c>
      <c r="P50">
        <v>-8.9260699999999995E-3</v>
      </c>
      <c r="Q50">
        <v>8.9260699999999995E-3</v>
      </c>
      <c r="R50">
        <v>5.3220000000000002E-5</v>
      </c>
      <c r="S50">
        <v>1.95</v>
      </c>
      <c r="T50">
        <v>0.05</v>
      </c>
      <c r="U50">
        <v>1.9506409199999999</v>
      </c>
      <c r="V50">
        <v>-5.0209599999999997E-3</v>
      </c>
      <c r="W50">
        <v>1.6671890000000002E-2</v>
      </c>
      <c r="X50">
        <v>0</v>
      </c>
      <c r="Y50" s="7">
        <v>0.82705326000000001</v>
      </c>
      <c r="Z50" s="7">
        <v>0.32728216999999998</v>
      </c>
      <c r="AA50" s="7">
        <v>0.88945529000000001</v>
      </c>
    </row>
    <row r="51" spans="1:27" x14ac:dyDescent="0.25">
      <c r="A51">
        <v>0</v>
      </c>
      <c r="B51">
        <v>0.15</v>
      </c>
      <c r="C51">
        <v>50</v>
      </c>
      <c r="D51">
        <v>0.82199999999999995</v>
      </c>
      <c r="E51">
        <v>0.34399999999999997</v>
      </c>
      <c r="F51">
        <v>4.4988390000000003E-2</v>
      </c>
      <c r="G51">
        <v>0.89109006000000002</v>
      </c>
      <c r="H51">
        <v>0.95131487999999997</v>
      </c>
      <c r="I51">
        <v>0</v>
      </c>
      <c r="J51">
        <v>0.39629999999999999</v>
      </c>
      <c r="K51" s="3">
        <v>1.8633202</v>
      </c>
      <c r="L51">
        <v>-1.2238489999999999E-2</v>
      </c>
      <c r="M51">
        <v>-4.7999999999999996E-3</v>
      </c>
      <c r="N51">
        <v>1.66E-2</v>
      </c>
      <c r="O51">
        <v>0.33887267999999998</v>
      </c>
      <c r="P51">
        <v>-8.8334499999999996E-3</v>
      </c>
      <c r="Q51">
        <v>8.8334499999999996E-3</v>
      </c>
      <c r="R51">
        <v>9.2609999999999996E-5</v>
      </c>
      <c r="S51">
        <v>1.95</v>
      </c>
      <c r="T51">
        <v>0.05</v>
      </c>
      <c r="U51">
        <v>1.9506409199999999</v>
      </c>
      <c r="V51">
        <v>-4.7668700000000003E-3</v>
      </c>
      <c r="W51">
        <v>1.6558400000000001E-2</v>
      </c>
      <c r="X51">
        <v>0</v>
      </c>
      <c r="Y51" s="7">
        <v>0.82203229</v>
      </c>
      <c r="Z51" s="7">
        <v>0.34395406000000001</v>
      </c>
      <c r="AA51" s="7">
        <v>0.89109006000000002</v>
      </c>
    </row>
    <row r="52" spans="1:27" x14ac:dyDescent="0.25">
      <c r="A52">
        <v>0</v>
      </c>
      <c r="B52">
        <v>0.153</v>
      </c>
      <c r="C52">
        <v>51</v>
      </c>
      <c r="D52">
        <v>0.81730000000000003</v>
      </c>
      <c r="E52">
        <v>0.36049999999999999</v>
      </c>
      <c r="F52">
        <v>4.4319560000000001E-2</v>
      </c>
      <c r="G52">
        <v>0.89324800999999998</v>
      </c>
      <c r="H52">
        <v>0.95131487999999997</v>
      </c>
      <c r="I52">
        <v>0</v>
      </c>
      <c r="J52">
        <v>0.41539999999999999</v>
      </c>
      <c r="K52" s="3">
        <v>1.8510990899999999</v>
      </c>
      <c r="L52">
        <v>-1.222112E-2</v>
      </c>
      <c r="M52">
        <v>-4.4999999999999997E-3</v>
      </c>
      <c r="N52">
        <v>1.6400000000000001E-2</v>
      </c>
      <c r="O52">
        <v>0.35584739999999998</v>
      </c>
      <c r="P52">
        <v>-8.7021200000000007E-3</v>
      </c>
      <c r="Q52">
        <v>8.7021200000000007E-3</v>
      </c>
      <c r="R52">
        <v>1.3133E-4</v>
      </c>
      <c r="S52">
        <v>1.95</v>
      </c>
      <c r="T52">
        <v>0.05</v>
      </c>
      <c r="U52">
        <v>1.9506409199999999</v>
      </c>
      <c r="V52">
        <v>-4.4967399999999999E-3</v>
      </c>
      <c r="W52">
        <v>1.6368279999999999E-2</v>
      </c>
      <c r="X52">
        <v>0</v>
      </c>
      <c r="Y52" s="7">
        <v>0.81726542999999996</v>
      </c>
      <c r="Z52" s="7">
        <v>0.36051245999999998</v>
      </c>
      <c r="AA52" s="7">
        <v>0.89324800999999998</v>
      </c>
    </row>
    <row r="53" spans="1:27" x14ac:dyDescent="0.25">
      <c r="A53">
        <v>0</v>
      </c>
      <c r="B53">
        <v>0.156</v>
      </c>
      <c r="C53">
        <v>52</v>
      </c>
      <c r="D53">
        <v>0.81279999999999997</v>
      </c>
      <c r="E53">
        <v>0.37690000000000001</v>
      </c>
      <c r="F53">
        <v>4.345852E-2</v>
      </c>
      <c r="G53">
        <v>0.89589733000000005</v>
      </c>
      <c r="H53">
        <v>0.95131487999999997</v>
      </c>
      <c r="I53">
        <v>0</v>
      </c>
      <c r="J53">
        <v>0.43419999999999997</v>
      </c>
      <c r="K53" s="3">
        <v>1.8389046600000001</v>
      </c>
      <c r="L53">
        <v>-1.2194429999999999E-2</v>
      </c>
      <c r="M53">
        <v>-4.1999999999999997E-3</v>
      </c>
      <c r="N53">
        <v>1.61E-2</v>
      </c>
      <c r="O53">
        <v>0.37249232999999998</v>
      </c>
      <c r="P53">
        <v>-8.5330600000000003E-3</v>
      </c>
      <c r="Q53">
        <v>8.5330600000000003E-3</v>
      </c>
      <c r="R53">
        <v>1.6907000000000001E-4</v>
      </c>
      <c r="S53">
        <v>1.95</v>
      </c>
      <c r="T53">
        <v>0.05</v>
      </c>
      <c r="U53">
        <v>1.9506409199999999</v>
      </c>
      <c r="V53">
        <v>-4.2138999999999996E-3</v>
      </c>
      <c r="W53">
        <v>1.6102700000000001E-2</v>
      </c>
      <c r="X53">
        <v>0</v>
      </c>
      <c r="Y53" s="7">
        <v>0.81276868999999996</v>
      </c>
      <c r="Z53" s="7">
        <v>0.37688073999999999</v>
      </c>
      <c r="AA53" s="7">
        <v>0.89589733000000005</v>
      </c>
    </row>
    <row r="54" spans="1:27" x14ac:dyDescent="0.25">
      <c r="A54">
        <v>0</v>
      </c>
      <c r="B54">
        <v>0.159</v>
      </c>
      <c r="C54">
        <v>53</v>
      </c>
      <c r="D54">
        <v>0.80859999999999999</v>
      </c>
      <c r="E54">
        <v>0.39300000000000002</v>
      </c>
      <c r="F54">
        <v>4.241164E-2</v>
      </c>
      <c r="G54">
        <v>0.89899768000000002</v>
      </c>
      <c r="H54">
        <v>0.95131487999999997</v>
      </c>
      <c r="I54">
        <v>0</v>
      </c>
      <c r="J54">
        <v>0.45240000000000002</v>
      </c>
      <c r="K54" s="3">
        <v>1.82674607</v>
      </c>
      <c r="L54">
        <v>-1.215859E-2</v>
      </c>
      <c r="M54">
        <v>-3.8999999999999998E-3</v>
      </c>
      <c r="N54">
        <v>1.5800000000000002E-2</v>
      </c>
      <c r="O54">
        <v>0.38873629999999998</v>
      </c>
      <c r="P54">
        <v>-8.3275099999999998E-3</v>
      </c>
      <c r="Q54">
        <v>8.3275099999999998E-3</v>
      </c>
      <c r="R54">
        <v>2.0555000000000001E-4</v>
      </c>
      <c r="S54">
        <v>1.95</v>
      </c>
      <c r="T54">
        <v>0.05</v>
      </c>
      <c r="U54">
        <v>1.9506409199999999</v>
      </c>
      <c r="V54">
        <v>-3.92173E-3</v>
      </c>
      <c r="W54">
        <v>1.576346E-2</v>
      </c>
      <c r="X54">
        <v>0</v>
      </c>
      <c r="Y54" s="7">
        <v>0.80855478999999997</v>
      </c>
      <c r="Z54" s="7">
        <v>0.39298344000000002</v>
      </c>
      <c r="AA54" s="7">
        <v>0.89899768000000002</v>
      </c>
    </row>
    <row r="55" spans="1:27" x14ac:dyDescent="0.25">
      <c r="A55">
        <v>0</v>
      </c>
      <c r="B55">
        <v>0.16200000000000001</v>
      </c>
      <c r="C55">
        <v>54</v>
      </c>
      <c r="D55">
        <v>0.80459999999999998</v>
      </c>
      <c r="E55">
        <v>0.40870000000000001</v>
      </c>
      <c r="F55">
        <v>4.118666E-2</v>
      </c>
      <c r="G55">
        <v>0.90250118000000001</v>
      </c>
      <c r="H55">
        <v>0.95131487999999997</v>
      </c>
      <c r="I55">
        <v>0</v>
      </c>
      <c r="J55">
        <v>0.47</v>
      </c>
      <c r="K55" s="3">
        <v>1.81463222</v>
      </c>
      <c r="L55">
        <v>-1.2113850000000001E-2</v>
      </c>
      <c r="M55">
        <v>-3.5999999999999999E-3</v>
      </c>
      <c r="N55">
        <v>1.54E-2</v>
      </c>
      <c r="O55">
        <v>0.40451110000000001</v>
      </c>
      <c r="P55">
        <v>-8.0869800000000006E-3</v>
      </c>
      <c r="Q55">
        <v>8.0869800000000006E-3</v>
      </c>
      <c r="R55">
        <v>2.4052000000000001E-4</v>
      </c>
      <c r="S55">
        <v>1.95</v>
      </c>
      <c r="T55">
        <v>0.05</v>
      </c>
      <c r="U55">
        <v>1.9506409199999999</v>
      </c>
      <c r="V55">
        <v>-3.6235600000000001E-3</v>
      </c>
      <c r="W55">
        <v>1.535298E-2</v>
      </c>
      <c r="X55">
        <v>0</v>
      </c>
      <c r="Y55" s="7">
        <v>0.80463306000000001</v>
      </c>
      <c r="Z55" s="7">
        <v>0.40874690000000002</v>
      </c>
      <c r="AA55" s="7">
        <v>0.90250118000000001</v>
      </c>
    </row>
    <row r="56" spans="1:27" x14ac:dyDescent="0.25">
      <c r="A56">
        <v>0</v>
      </c>
      <c r="B56">
        <v>0.16500000000000001</v>
      </c>
      <c r="C56">
        <v>55</v>
      </c>
      <c r="D56">
        <v>0.80100000000000005</v>
      </c>
      <c r="E56">
        <v>0.42409999999999998</v>
      </c>
      <c r="F56">
        <v>3.9792679999999997E-2</v>
      </c>
      <c r="G56">
        <v>0.90635363999999996</v>
      </c>
      <c r="H56">
        <v>0.95131487999999997</v>
      </c>
      <c r="I56">
        <v>0</v>
      </c>
      <c r="J56">
        <v>0.4869</v>
      </c>
      <c r="K56" s="3">
        <v>1.8025717400000001</v>
      </c>
      <c r="L56">
        <v>-1.206048E-2</v>
      </c>
      <c r="M56">
        <v>-3.3E-3</v>
      </c>
      <c r="N56">
        <v>1.49E-2</v>
      </c>
      <c r="O56">
        <v>0.41975200000000001</v>
      </c>
      <c r="P56">
        <v>-7.8132700000000006E-3</v>
      </c>
      <c r="Q56">
        <v>7.8132700000000006E-3</v>
      </c>
      <c r="R56">
        <v>2.7370999999999998E-4</v>
      </c>
      <c r="S56">
        <v>1.95</v>
      </c>
      <c r="T56">
        <v>0.05</v>
      </c>
      <c r="U56">
        <v>1.9506409199999999</v>
      </c>
      <c r="V56">
        <v>-3.3226900000000001E-3</v>
      </c>
      <c r="W56">
        <v>1.487429E-2</v>
      </c>
      <c r="X56">
        <v>0</v>
      </c>
      <c r="Y56" s="7">
        <v>0.80100948999999999</v>
      </c>
      <c r="Z56" s="7">
        <v>0.42409987999999998</v>
      </c>
      <c r="AA56" s="7">
        <v>0.90635363999999996</v>
      </c>
    </row>
    <row r="57" spans="1:27" x14ac:dyDescent="0.25">
      <c r="A57">
        <v>0</v>
      </c>
      <c r="B57">
        <v>0.16800000000000001</v>
      </c>
      <c r="C57">
        <v>56</v>
      </c>
      <c r="D57">
        <v>0.79769999999999996</v>
      </c>
      <c r="E57">
        <v>0.439</v>
      </c>
      <c r="F57">
        <v>3.8240030000000001E-2</v>
      </c>
      <c r="G57">
        <v>0.91049577000000004</v>
      </c>
      <c r="H57">
        <v>0.95131487999999997</v>
      </c>
      <c r="I57">
        <v>0</v>
      </c>
      <c r="J57">
        <v>0.50309999999999999</v>
      </c>
      <c r="K57" s="3">
        <v>1.7905729100000001</v>
      </c>
      <c r="L57">
        <v>-1.199882E-2</v>
      </c>
      <c r="M57">
        <v>-3.0000000000000001E-3</v>
      </c>
      <c r="N57">
        <v>1.43E-2</v>
      </c>
      <c r="O57">
        <v>0.43439821000000001</v>
      </c>
      <c r="P57">
        <v>-7.5084100000000001E-3</v>
      </c>
      <c r="Q57">
        <v>7.5084100000000001E-3</v>
      </c>
      <c r="R57">
        <v>3.0486000000000001E-4</v>
      </c>
      <c r="S57">
        <v>1.95</v>
      </c>
      <c r="T57">
        <v>0.05</v>
      </c>
      <c r="U57">
        <v>1.9506409199999999</v>
      </c>
      <c r="V57">
        <v>-3.0223099999999998E-3</v>
      </c>
      <c r="W57">
        <v>1.433099E-2</v>
      </c>
      <c r="X57">
        <v>0</v>
      </c>
      <c r="Y57" s="7">
        <v>0.79768680000000003</v>
      </c>
      <c r="Z57" s="7">
        <v>0.43897417</v>
      </c>
      <c r="AA57" s="7">
        <v>0.91049577000000004</v>
      </c>
    </row>
    <row r="58" spans="1:27" x14ac:dyDescent="0.25">
      <c r="A58">
        <v>0</v>
      </c>
      <c r="B58">
        <v>0.17100000000000001</v>
      </c>
      <c r="C58">
        <v>57</v>
      </c>
      <c r="D58">
        <v>0.79469999999999996</v>
      </c>
      <c r="E58">
        <v>0.45329999999999998</v>
      </c>
      <c r="F58">
        <v>3.6540280000000001E-2</v>
      </c>
      <c r="G58">
        <v>0.91486460000000003</v>
      </c>
      <c r="H58">
        <v>0.95131487999999997</v>
      </c>
      <c r="I58">
        <v>0</v>
      </c>
      <c r="J58">
        <v>0.51839999999999997</v>
      </c>
      <c r="K58" s="3">
        <v>1.77864365</v>
      </c>
      <c r="L58">
        <v>-1.1929260000000001E-2</v>
      </c>
      <c r="M58">
        <v>-2.7000000000000001E-3</v>
      </c>
      <c r="N58">
        <v>1.37E-2</v>
      </c>
      <c r="O58">
        <v>0.44839340999999999</v>
      </c>
      <c r="P58">
        <v>-7.1746700000000002E-3</v>
      </c>
      <c r="Q58">
        <v>7.1746700000000002E-3</v>
      </c>
      <c r="R58">
        <v>3.3375000000000001E-4</v>
      </c>
      <c r="S58">
        <v>1.95</v>
      </c>
      <c r="T58">
        <v>0.05</v>
      </c>
      <c r="U58">
        <v>1.9506409199999999</v>
      </c>
      <c r="V58">
        <v>-2.7254599999999999E-3</v>
      </c>
      <c r="W58">
        <v>1.372725E-2</v>
      </c>
      <c r="X58">
        <v>0</v>
      </c>
      <c r="Y58" s="7">
        <v>0.7946645</v>
      </c>
      <c r="Z58" s="7">
        <v>0.45330515999999998</v>
      </c>
      <c r="AA58" s="7">
        <v>0.91486460000000003</v>
      </c>
    </row>
    <row r="59" spans="1:27" x14ac:dyDescent="0.25">
      <c r="A59">
        <v>0</v>
      </c>
      <c r="B59">
        <v>0.17399999999999999</v>
      </c>
      <c r="C59">
        <v>58</v>
      </c>
      <c r="D59">
        <v>0.79190000000000005</v>
      </c>
      <c r="E59">
        <v>0.46700000000000003</v>
      </c>
      <c r="F59">
        <v>3.4706109999999998E-2</v>
      </c>
      <c r="G59">
        <v>0.91939475000000004</v>
      </c>
      <c r="H59">
        <v>0.95131487999999997</v>
      </c>
      <c r="I59">
        <v>0</v>
      </c>
      <c r="J59">
        <v>0.53280000000000005</v>
      </c>
      <c r="K59" s="3">
        <v>1.76679144</v>
      </c>
      <c r="L59">
        <v>-1.185221E-2</v>
      </c>
      <c r="M59">
        <v>-2.3999999999999998E-3</v>
      </c>
      <c r="N59">
        <v>1.3100000000000001E-2</v>
      </c>
      <c r="O59">
        <v>0.46168610999999998</v>
      </c>
      <c r="P59">
        <v>-6.8145300000000001E-3</v>
      </c>
      <c r="Q59">
        <v>6.8145300000000001E-3</v>
      </c>
      <c r="R59">
        <v>3.6014E-4</v>
      </c>
      <c r="S59">
        <v>1.95</v>
      </c>
      <c r="T59">
        <v>0.05</v>
      </c>
      <c r="U59">
        <v>1.9506409199999999</v>
      </c>
      <c r="V59">
        <v>-2.4350499999999998E-3</v>
      </c>
      <c r="W59">
        <v>1.3067759999999999E-2</v>
      </c>
      <c r="X59">
        <v>0</v>
      </c>
      <c r="Y59" s="7">
        <v>0.79193902999999999</v>
      </c>
      <c r="Z59" s="7">
        <v>0.46703241000000001</v>
      </c>
      <c r="AA59" s="7">
        <v>0.91939475000000004</v>
      </c>
    </row>
    <row r="60" spans="1:27" x14ac:dyDescent="0.25">
      <c r="A60">
        <v>0</v>
      </c>
      <c r="B60">
        <v>0.17699999999999999</v>
      </c>
      <c r="C60">
        <v>59</v>
      </c>
      <c r="D60">
        <v>0.78949999999999998</v>
      </c>
      <c r="E60">
        <v>0.48010000000000003</v>
      </c>
      <c r="F60">
        <v>3.2751309999999999E-2</v>
      </c>
      <c r="G60">
        <v>0.92401986999999997</v>
      </c>
      <c r="H60">
        <v>0.95131487999999997</v>
      </c>
      <c r="I60">
        <v>0</v>
      </c>
      <c r="J60">
        <v>0.5464</v>
      </c>
      <c r="K60" s="3">
        <v>1.7550233099999999</v>
      </c>
      <c r="L60">
        <v>-1.176813E-2</v>
      </c>
      <c r="M60">
        <v>-2.2000000000000001E-3</v>
      </c>
      <c r="N60">
        <v>1.24E-2</v>
      </c>
      <c r="O60">
        <v>0.47423010999999998</v>
      </c>
      <c r="P60">
        <v>-6.4307000000000001E-3</v>
      </c>
      <c r="Q60">
        <v>6.4307000000000001E-3</v>
      </c>
      <c r="R60">
        <v>3.8381999999999999E-4</v>
      </c>
      <c r="S60">
        <v>1.95</v>
      </c>
      <c r="T60">
        <v>0.05</v>
      </c>
      <c r="U60">
        <v>1.9506409199999999</v>
      </c>
      <c r="V60">
        <v>-2.1537399999999999E-3</v>
      </c>
      <c r="W60">
        <v>1.2357720000000001E-2</v>
      </c>
      <c r="X60">
        <v>0</v>
      </c>
      <c r="Y60" s="7">
        <v>0.78950399000000004</v>
      </c>
      <c r="Z60" s="7">
        <v>0.48010017999999999</v>
      </c>
      <c r="AA60" s="7">
        <v>0.92401986999999997</v>
      </c>
    </row>
    <row r="61" spans="1:27" x14ac:dyDescent="0.25">
      <c r="A61">
        <v>0</v>
      </c>
      <c r="B61">
        <v>0.18</v>
      </c>
      <c r="C61">
        <v>60</v>
      </c>
      <c r="D61">
        <v>0.78739999999999999</v>
      </c>
      <c r="E61">
        <v>0.49249999999999999</v>
      </c>
      <c r="F61">
        <v>3.0690640000000002E-2</v>
      </c>
      <c r="G61">
        <v>0.92867389</v>
      </c>
      <c r="H61">
        <v>0.95131487999999997</v>
      </c>
      <c r="I61">
        <v>0</v>
      </c>
      <c r="J61">
        <v>0.55889999999999995</v>
      </c>
      <c r="K61" s="3">
        <v>1.7433458100000001</v>
      </c>
      <c r="L61">
        <v>-1.16775E-2</v>
      </c>
      <c r="M61">
        <v>-1.9E-3</v>
      </c>
      <c r="N61">
        <v>1.1599999999999999E-2</v>
      </c>
      <c r="O61">
        <v>0.48598485000000002</v>
      </c>
      <c r="P61">
        <v>-6.0260899999999996E-3</v>
      </c>
      <c r="Q61">
        <v>6.0260899999999996E-3</v>
      </c>
      <c r="R61">
        <v>4.0461000000000002E-4</v>
      </c>
      <c r="S61">
        <v>1.95</v>
      </c>
      <c r="T61">
        <v>0.05</v>
      </c>
      <c r="U61">
        <v>1.9506409199999999</v>
      </c>
      <c r="V61">
        <v>-1.8839799999999999E-3</v>
      </c>
      <c r="W61">
        <v>1.160278E-2</v>
      </c>
      <c r="X61">
        <v>0</v>
      </c>
      <c r="Y61" s="7">
        <v>0.78735025000000003</v>
      </c>
      <c r="Z61" s="7">
        <v>0.4924579</v>
      </c>
      <c r="AA61" s="7">
        <v>0.92867389</v>
      </c>
    </row>
    <row r="62" spans="1:27" x14ac:dyDescent="0.25">
      <c r="A62">
        <v>0</v>
      </c>
      <c r="B62">
        <v>0.183</v>
      </c>
      <c r="C62">
        <v>61</v>
      </c>
      <c r="D62">
        <v>0.78549999999999998</v>
      </c>
      <c r="E62">
        <v>0.50409999999999999</v>
      </c>
      <c r="F62">
        <v>2.8539809999999999E-2</v>
      </c>
      <c r="G62">
        <v>0.93329225000000005</v>
      </c>
      <c r="H62">
        <v>0.95131487999999997</v>
      </c>
      <c r="I62">
        <v>0</v>
      </c>
      <c r="J62">
        <v>0.57050000000000001</v>
      </c>
      <c r="K62" s="3">
        <v>1.731765</v>
      </c>
      <c r="L62">
        <v>-1.158082E-2</v>
      </c>
      <c r="M62">
        <v>-1.6000000000000001E-3</v>
      </c>
      <c r="N62">
        <v>1.0800000000000001E-2</v>
      </c>
      <c r="O62">
        <v>0.49691581000000001</v>
      </c>
      <c r="P62">
        <v>-5.60378E-3</v>
      </c>
      <c r="Q62">
        <v>5.60378E-3</v>
      </c>
      <c r="R62">
        <v>4.2231000000000001E-4</v>
      </c>
      <c r="S62">
        <v>1.95</v>
      </c>
      <c r="T62">
        <v>0.05</v>
      </c>
      <c r="U62">
        <v>1.9506409199999999</v>
      </c>
      <c r="V62">
        <v>-1.6279899999999999E-3</v>
      </c>
      <c r="W62">
        <v>1.0809050000000001E-2</v>
      </c>
      <c r="X62">
        <v>0</v>
      </c>
      <c r="Y62" s="7">
        <v>0.78546627000000002</v>
      </c>
      <c r="Z62" s="7">
        <v>0.50406068000000004</v>
      </c>
      <c r="AA62" s="7">
        <v>0.93329225000000005</v>
      </c>
    </row>
    <row r="63" spans="1:27" x14ac:dyDescent="0.25">
      <c r="A63">
        <v>0</v>
      </c>
      <c r="B63">
        <v>0.186</v>
      </c>
      <c r="C63">
        <v>62</v>
      </c>
      <c r="D63">
        <v>0.78380000000000005</v>
      </c>
      <c r="E63">
        <v>0.51490000000000002</v>
      </c>
      <c r="F63">
        <v>2.6315430000000001E-2</v>
      </c>
      <c r="G63">
        <v>0.93781303000000005</v>
      </c>
      <c r="H63">
        <v>0.95131487999999997</v>
      </c>
      <c r="I63">
        <v>0</v>
      </c>
      <c r="J63">
        <v>0.58120000000000005</v>
      </c>
      <c r="K63" s="3">
        <v>1.7202863900000001</v>
      </c>
      <c r="L63">
        <v>-1.147861E-2</v>
      </c>
      <c r="M63">
        <v>-1.4E-3</v>
      </c>
      <c r="N63">
        <v>0.01</v>
      </c>
      <c r="O63">
        <v>0.50699481000000002</v>
      </c>
      <c r="P63">
        <v>-5.1670199999999996E-3</v>
      </c>
      <c r="Q63">
        <v>5.1670199999999996E-3</v>
      </c>
      <c r="R63">
        <v>4.3676000000000001E-4</v>
      </c>
      <c r="S63">
        <v>1.95</v>
      </c>
      <c r="T63">
        <v>0.05</v>
      </c>
      <c r="U63">
        <v>1.9506409199999999</v>
      </c>
      <c r="V63">
        <v>-1.3876800000000001E-3</v>
      </c>
      <c r="W63">
        <v>9.9830200000000004E-3</v>
      </c>
      <c r="X63">
        <v>0</v>
      </c>
      <c r="Y63" s="7">
        <v>0.78383828</v>
      </c>
      <c r="Z63" s="7">
        <v>0.51486973000000003</v>
      </c>
      <c r="AA63" s="7">
        <v>0.93781303000000005</v>
      </c>
    </row>
    <row r="64" spans="1:27" x14ac:dyDescent="0.25">
      <c r="A64">
        <v>0</v>
      </c>
      <c r="B64">
        <v>0.189</v>
      </c>
      <c r="C64">
        <v>63</v>
      </c>
      <c r="D64">
        <v>0.78249999999999997</v>
      </c>
      <c r="E64">
        <v>0.52490000000000003</v>
      </c>
      <c r="F64">
        <v>2.4034929999999999E-2</v>
      </c>
      <c r="G64">
        <v>0.94217797999999997</v>
      </c>
      <c r="H64">
        <v>0.95131487999999997</v>
      </c>
      <c r="I64">
        <v>0</v>
      </c>
      <c r="J64">
        <v>0.59079999999999999</v>
      </c>
      <c r="K64" s="3">
        <v>1.708915</v>
      </c>
      <c r="L64">
        <v>-1.137139E-2</v>
      </c>
      <c r="M64">
        <v>-1.1999999999999999E-3</v>
      </c>
      <c r="N64">
        <v>9.1000000000000004E-3</v>
      </c>
      <c r="O64">
        <v>0.51620036999999996</v>
      </c>
      <c r="P64">
        <v>-4.7192500000000004E-3</v>
      </c>
      <c r="Q64">
        <v>4.7192500000000004E-3</v>
      </c>
      <c r="R64">
        <v>4.4777E-4</v>
      </c>
      <c r="S64">
        <v>1.95</v>
      </c>
      <c r="T64">
        <v>0.05</v>
      </c>
      <c r="U64">
        <v>1.9506409199999999</v>
      </c>
      <c r="V64">
        <v>-1.16468E-3</v>
      </c>
      <c r="W64">
        <v>9.1315800000000003E-3</v>
      </c>
      <c r="X64">
        <v>0</v>
      </c>
      <c r="Y64" s="7">
        <v>0.7824506</v>
      </c>
      <c r="Z64" s="7">
        <v>0.52485274999999998</v>
      </c>
      <c r="AA64" s="7">
        <v>0.94217797999999997</v>
      </c>
    </row>
    <row r="65" spans="1:27" x14ac:dyDescent="0.25">
      <c r="A65">
        <v>0</v>
      </c>
      <c r="B65">
        <v>0.192</v>
      </c>
      <c r="C65">
        <v>64</v>
      </c>
      <c r="D65">
        <v>0.78129999999999999</v>
      </c>
      <c r="E65">
        <v>0.53400000000000003</v>
      </c>
      <c r="F65">
        <v>2.1716579999999999E-2</v>
      </c>
      <c r="G65">
        <v>0.94633343000000003</v>
      </c>
      <c r="H65">
        <v>0.95131487999999997</v>
      </c>
      <c r="I65">
        <v>0</v>
      </c>
      <c r="J65">
        <v>0.59950000000000003</v>
      </c>
      <c r="K65" s="3">
        <v>1.69765531</v>
      </c>
      <c r="L65">
        <v>-1.1259689999999999E-2</v>
      </c>
      <c r="M65">
        <v>-1E-3</v>
      </c>
      <c r="N65">
        <v>8.3000000000000001E-3</v>
      </c>
      <c r="O65">
        <v>0.52451798000000005</v>
      </c>
      <c r="P65">
        <v>-4.2640400000000002E-3</v>
      </c>
      <c r="Q65">
        <v>4.2640400000000002E-3</v>
      </c>
      <c r="R65">
        <v>4.5521E-4</v>
      </c>
      <c r="S65">
        <v>1.95</v>
      </c>
      <c r="T65">
        <v>0.05</v>
      </c>
      <c r="U65">
        <v>1.9506409199999999</v>
      </c>
      <c r="V65">
        <v>-9.6033000000000002E-4</v>
      </c>
      <c r="W65">
        <v>8.2619900000000003E-3</v>
      </c>
      <c r="X65">
        <v>0</v>
      </c>
      <c r="Y65" s="7">
        <v>0.78128591999999997</v>
      </c>
      <c r="Z65" s="7">
        <v>0.53398433000000001</v>
      </c>
      <c r="AA65" s="7">
        <v>0.94633343000000003</v>
      </c>
    </row>
    <row r="66" spans="1:27" x14ac:dyDescent="0.25">
      <c r="A66">
        <v>0</v>
      </c>
      <c r="B66">
        <v>0.19500000000000001</v>
      </c>
      <c r="C66">
        <v>65</v>
      </c>
      <c r="D66">
        <v>0.78029999999999999</v>
      </c>
      <c r="E66">
        <v>0.54220000000000002</v>
      </c>
      <c r="F66">
        <v>1.9379469999999999E-2</v>
      </c>
      <c r="G66">
        <v>0.95023108000000001</v>
      </c>
      <c r="H66">
        <v>0.95131487999999997</v>
      </c>
      <c r="I66">
        <v>0</v>
      </c>
      <c r="J66">
        <v>0.60729999999999995</v>
      </c>
      <c r="K66" s="3">
        <v>1.6865112799999999</v>
      </c>
      <c r="L66">
        <v>-1.1144039999999999E-2</v>
      </c>
      <c r="M66">
        <v>-8.0000000000000004E-4</v>
      </c>
      <c r="N66">
        <v>7.4000000000000003E-3</v>
      </c>
      <c r="O66">
        <v>0.53194047</v>
      </c>
      <c r="P66">
        <v>-3.8051500000000002E-3</v>
      </c>
      <c r="Q66">
        <v>3.8051500000000002E-3</v>
      </c>
      <c r="R66">
        <v>4.5888999999999999E-4</v>
      </c>
      <c r="S66">
        <v>1.95</v>
      </c>
      <c r="T66">
        <v>0.05</v>
      </c>
      <c r="U66">
        <v>1.9506409199999999</v>
      </c>
      <c r="V66">
        <v>-7.7563999999999997E-4</v>
      </c>
      <c r="W66">
        <v>7.3818399999999998E-3</v>
      </c>
      <c r="X66">
        <v>0</v>
      </c>
      <c r="Y66" s="7">
        <v>0.78032559999999995</v>
      </c>
      <c r="Z66" s="7">
        <v>0.54224631999999995</v>
      </c>
      <c r="AA66" s="7">
        <v>0.95023108000000001</v>
      </c>
    </row>
    <row r="67" spans="1:27" x14ac:dyDescent="0.25">
      <c r="A67">
        <v>0</v>
      </c>
      <c r="B67">
        <v>0.19800000000000001</v>
      </c>
      <c r="C67">
        <v>66</v>
      </c>
      <c r="D67">
        <v>0.77949999999999997</v>
      </c>
      <c r="E67">
        <v>0.54959999999999998</v>
      </c>
      <c r="F67">
        <v>1.7043550000000001E-2</v>
      </c>
      <c r="G67">
        <v>0.95382873000000001</v>
      </c>
      <c r="H67">
        <v>0.95131487999999997</v>
      </c>
      <c r="I67">
        <v>0</v>
      </c>
      <c r="J67">
        <v>0.61409999999999998</v>
      </c>
      <c r="K67" s="3">
        <v>1.67548633</v>
      </c>
      <c r="L67">
        <v>-1.102495E-2</v>
      </c>
      <c r="M67">
        <v>-5.9999999999999995E-4</v>
      </c>
      <c r="N67">
        <v>6.4999999999999997E-3</v>
      </c>
      <c r="O67">
        <v>0.53846826999999997</v>
      </c>
      <c r="P67">
        <v>-3.3464900000000001E-3</v>
      </c>
      <c r="Q67">
        <v>3.3464900000000001E-3</v>
      </c>
      <c r="R67">
        <v>4.5866E-4</v>
      </c>
      <c r="S67">
        <v>1.95</v>
      </c>
      <c r="T67">
        <v>0.05</v>
      </c>
      <c r="U67">
        <v>1.9506409199999999</v>
      </c>
      <c r="V67">
        <v>-6.1132999999999999E-4</v>
      </c>
      <c r="W67">
        <v>6.4991199999999997E-3</v>
      </c>
      <c r="X67">
        <v>0</v>
      </c>
      <c r="Y67" s="7">
        <v>0.77954995999999999</v>
      </c>
      <c r="Z67" s="7">
        <v>0.54962816000000003</v>
      </c>
      <c r="AA67" s="7">
        <v>0.95382873000000001</v>
      </c>
    </row>
    <row r="68" spans="1:27" x14ac:dyDescent="0.25">
      <c r="A68">
        <v>0</v>
      </c>
      <c r="B68">
        <v>0.20100000000000001</v>
      </c>
      <c r="C68">
        <v>67</v>
      </c>
      <c r="D68">
        <v>0.77890000000000004</v>
      </c>
      <c r="E68">
        <v>0.55610000000000004</v>
      </c>
      <c r="F68">
        <v>1.472978E-2</v>
      </c>
      <c r="G68">
        <v>0.95709087000000004</v>
      </c>
      <c r="H68">
        <v>0.95131487999999997</v>
      </c>
      <c r="I68">
        <v>0</v>
      </c>
      <c r="J68">
        <v>0.62</v>
      </c>
      <c r="K68" s="3">
        <v>1.6645834100000001</v>
      </c>
      <c r="L68">
        <v>-1.090292E-2</v>
      </c>
      <c r="M68">
        <v>-5.0000000000000001E-4</v>
      </c>
      <c r="N68">
        <v>5.5999999999999999E-3</v>
      </c>
      <c r="O68">
        <v>0.54410988999999998</v>
      </c>
      <c r="P68">
        <v>-2.8921799999999998E-3</v>
      </c>
      <c r="Q68">
        <v>2.8921799999999998E-3</v>
      </c>
      <c r="R68">
        <v>4.5430999999999998E-4</v>
      </c>
      <c r="S68">
        <v>1.95</v>
      </c>
      <c r="T68">
        <v>0.05</v>
      </c>
      <c r="U68">
        <v>1.9506409199999999</v>
      </c>
      <c r="V68">
        <v>-4.6776000000000001E-4</v>
      </c>
      <c r="W68">
        <v>5.62219E-3</v>
      </c>
      <c r="X68">
        <v>0</v>
      </c>
      <c r="Y68" s="7">
        <v>0.77893862999999997</v>
      </c>
      <c r="Z68" s="7">
        <v>0.55612728</v>
      </c>
      <c r="AA68" s="7">
        <v>0.95709087000000004</v>
      </c>
    </row>
    <row r="69" spans="1:27" x14ac:dyDescent="0.25">
      <c r="A69">
        <v>0</v>
      </c>
      <c r="B69">
        <v>0.20399999999999999</v>
      </c>
      <c r="C69">
        <v>68</v>
      </c>
      <c r="D69">
        <v>0.77849999999999997</v>
      </c>
      <c r="E69">
        <v>0.56169999999999998</v>
      </c>
      <c r="F69">
        <v>1.2460260000000001E-2</v>
      </c>
      <c r="G69">
        <v>0.95998925000000002</v>
      </c>
      <c r="H69">
        <v>0.95131487999999997</v>
      </c>
      <c r="I69">
        <v>0</v>
      </c>
      <c r="J69">
        <v>0.62509999999999999</v>
      </c>
      <c r="K69" s="3">
        <v>1.6538049500000001</v>
      </c>
      <c r="L69">
        <v>-1.077845E-2</v>
      </c>
      <c r="M69">
        <v>-2.9999999999999997E-4</v>
      </c>
      <c r="N69">
        <v>4.7999999999999996E-3</v>
      </c>
      <c r="O69">
        <v>0.54888225999999996</v>
      </c>
      <c r="P69">
        <v>-2.4465699999999999E-3</v>
      </c>
      <c r="Q69">
        <v>2.4465699999999999E-3</v>
      </c>
      <c r="R69">
        <v>4.4561999999999998E-4</v>
      </c>
      <c r="S69">
        <v>1.95</v>
      </c>
      <c r="T69">
        <v>0.05</v>
      </c>
      <c r="U69">
        <v>1.9506409199999999</v>
      </c>
      <c r="V69">
        <v>-3.4500999999999998E-4</v>
      </c>
      <c r="W69">
        <v>4.7598900000000001E-3</v>
      </c>
      <c r="X69">
        <v>0</v>
      </c>
      <c r="Y69" s="7">
        <v>0.77847085999999999</v>
      </c>
      <c r="Z69" s="7">
        <v>0.56174946999999997</v>
      </c>
      <c r="AA69" s="7">
        <v>0.95998925000000002</v>
      </c>
    </row>
    <row r="70" spans="1:27" x14ac:dyDescent="0.25">
      <c r="A70">
        <v>0</v>
      </c>
      <c r="B70">
        <v>0.20699999999999999</v>
      </c>
      <c r="C70">
        <v>69</v>
      </c>
      <c r="D70">
        <v>0.77810000000000001</v>
      </c>
      <c r="E70">
        <v>0.5665</v>
      </c>
      <c r="F70">
        <v>1.0258669999999999E-2</v>
      </c>
      <c r="G70">
        <v>0.96250334999999998</v>
      </c>
      <c r="H70">
        <v>0.95131487999999997</v>
      </c>
      <c r="I70">
        <v>0</v>
      </c>
      <c r="J70">
        <v>0.62929999999999997</v>
      </c>
      <c r="K70" s="3">
        <v>1.6431529499999999</v>
      </c>
      <c r="L70">
        <v>-1.0652E-2</v>
      </c>
      <c r="M70">
        <v>-2.0000000000000001E-4</v>
      </c>
      <c r="N70">
        <v>3.8999999999999998E-3</v>
      </c>
      <c r="O70">
        <v>0.55281141</v>
      </c>
      <c r="P70">
        <v>-2.0142799999999998E-3</v>
      </c>
      <c r="Q70">
        <v>2.0142799999999998E-3</v>
      </c>
      <c r="R70">
        <v>4.3228E-4</v>
      </c>
      <c r="S70">
        <v>1.95</v>
      </c>
      <c r="T70">
        <v>0.05</v>
      </c>
      <c r="U70">
        <v>1.9506409199999999</v>
      </c>
      <c r="V70">
        <v>-2.4279E-4</v>
      </c>
      <c r="W70">
        <v>3.9216399999999997E-3</v>
      </c>
      <c r="X70">
        <v>0</v>
      </c>
      <c r="Y70" s="7">
        <v>0.77812585000000001</v>
      </c>
      <c r="Z70" s="7">
        <v>0.56650935999999996</v>
      </c>
      <c r="AA70" s="7">
        <v>0.96250334999999998</v>
      </c>
    </row>
    <row r="71" spans="1:27" x14ac:dyDescent="0.25">
      <c r="A71">
        <v>0</v>
      </c>
      <c r="B71">
        <v>0.21</v>
      </c>
      <c r="C71">
        <v>70</v>
      </c>
      <c r="D71">
        <v>0.77790000000000004</v>
      </c>
      <c r="E71">
        <v>0.57040000000000002</v>
      </c>
      <c r="F71">
        <v>8.15075E-3</v>
      </c>
      <c r="G71">
        <v>0.96462095000000003</v>
      </c>
      <c r="H71">
        <v>0.95131487999999997</v>
      </c>
      <c r="I71">
        <v>0</v>
      </c>
      <c r="J71">
        <v>0.63270000000000004</v>
      </c>
      <c r="K71" s="3">
        <v>1.63262894</v>
      </c>
      <c r="L71">
        <v>-1.052401E-2</v>
      </c>
      <c r="M71">
        <v>-2.0000000000000001E-4</v>
      </c>
      <c r="N71">
        <v>3.0999999999999999E-3</v>
      </c>
      <c r="O71">
        <v>0.55593320000000002</v>
      </c>
      <c r="P71">
        <v>-1.6004000000000001E-3</v>
      </c>
      <c r="Q71">
        <v>1.6004000000000001E-3</v>
      </c>
      <c r="R71">
        <v>4.1388999999999998E-4</v>
      </c>
      <c r="S71">
        <v>1.95</v>
      </c>
      <c r="T71">
        <v>0.05</v>
      </c>
      <c r="U71">
        <v>1.9506409199999999</v>
      </c>
      <c r="V71">
        <v>-1.6050999999999999E-4</v>
      </c>
      <c r="W71">
        <v>3.1176699999999999E-3</v>
      </c>
      <c r="X71">
        <v>0</v>
      </c>
      <c r="Y71" s="7">
        <v>0.77788305999999996</v>
      </c>
      <c r="Z71" s="7">
        <v>0.57043100000000002</v>
      </c>
      <c r="AA71" s="7">
        <v>0.96462095000000003</v>
      </c>
    </row>
    <row r="72" spans="1:27" x14ac:dyDescent="0.25">
      <c r="A72">
        <v>0</v>
      </c>
      <c r="B72">
        <v>0.21299999999999999</v>
      </c>
      <c r="C72">
        <v>71</v>
      </c>
      <c r="D72">
        <v>0.77769999999999995</v>
      </c>
      <c r="E72">
        <v>0.57350000000000001</v>
      </c>
      <c r="F72">
        <v>6.1653599999999999E-3</v>
      </c>
      <c r="G72">
        <v>0.96633866999999996</v>
      </c>
      <c r="H72">
        <v>0.95131487999999997</v>
      </c>
      <c r="I72">
        <v>0</v>
      </c>
      <c r="J72">
        <v>0.63539999999999996</v>
      </c>
      <c r="K72" s="3">
        <v>1.6222340399999999</v>
      </c>
      <c r="L72">
        <v>-1.03949E-2</v>
      </c>
      <c r="M72">
        <v>-1E-4</v>
      </c>
      <c r="N72">
        <v>2.3999999999999998E-3</v>
      </c>
      <c r="O72">
        <v>0.55829459000000003</v>
      </c>
      <c r="P72">
        <v>-1.21057E-3</v>
      </c>
      <c r="Q72">
        <v>1.21057E-3</v>
      </c>
      <c r="R72">
        <v>3.8983000000000003E-4</v>
      </c>
      <c r="S72">
        <v>1.95</v>
      </c>
      <c r="T72">
        <v>0.05</v>
      </c>
      <c r="U72">
        <v>1.9506409199999999</v>
      </c>
      <c r="V72">
        <v>-9.7200000000000004E-5</v>
      </c>
      <c r="W72">
        <v>2.3593799999999999E-3</v>
      </c>
      <c r="X72">
        <v>0</v>
      </c>
      <c r="Y72" s="7">
        <v>0.77772255000000001</v>
      </c>
      <c r="Z72" s="7">
        <v>0.57354866000000004</v>
      </c>
      <c r="AA72" s="7">
        <v>0.96633866999999996</v>
      </c>
    </row>
    <row r="73" spans="1:27" x14ac:dyDescent="0.25">
      <c r="A73">
        <v>0</v>
      </c>
      <c r="B73">
        <v>0.216</v>
      </c>
      <c r="C73">
        <v>72</v>
      </c>
      <c r="D73">
        <v>0.77759999999999996</v>
      </c>
      <c r="E73">
        <v>0.57589999999999997</v>
      </c>
      <c r="F73">
        <v>4.3362699999999997E-3</v>
      </c>
      <c r="G73">
        <v>0.96766277999999994</v>
      </c>
      <c r="H73">
        <v>0.95131487999999997</v>
      </c>
      <c r="I73">
        <v>0</v>
      </c>
      <c r="J73">
        <v>0.63749999999999996</v>
      </c>
      <c r="K73" s="3">
        <v>1.6119690099999999</v>
      </c>
      <c r="L73">
        <v>-1.026504E-2</v>
      </c>
      <c r="M73">
        <v>-1E-4</v>
      </c>
      <c r="N73">
        <v>1.6999999999999999E-3</v>
      </c>
      <c r="O73">
        <v>0.55995541000000004</v>
      </c>
      <c r="P73">
        <v>-8.5141999999999998E-4</v>
      </c>
      <c r="Q73">
        <v>8.5141999999999998E-4</v>
      </c>
      <c r="R73">
        <v>3.5913999999999998E-4</v>
      </c>
      <c r="S73">
        <v>1.95</v>
      </c>
      <c r="T73">
        <v>0.05</v>
      </c>
      <c r="U73">
        <v>1.9506409199999999</v>
      </c>
      <c r="V73">
        <v>-5.1539999999999998E-5</v>
      </c>
      <c r="W73">
        <v>1.6600199999999999E-3</v>
      </c>
      <c r="X73">
        <v>0</v>
      </c>
      <c r="Y73" s="7">
        <v>0.77762534999999999</v>
      </c>
      <c r="Z73" s="7">
        <v>0.57590803999999995</v>
      </c>
      <c r="AA73" s="7">
        <v>0.96766277999999994</v>
      </c>
    </row>
    <row r="74" spans="1:27" x14ac:dyDescent="0.25">
      <c r="A74">
        <v>0</v>
      </c>
      <c r="B74">
        <v>0.219</v>
      </c>
      <c r="C74">
        <v>73</v>
      </c>
      <c r="D74">
        <v>0.77759999999999996</v>
      </c>
      <c r="E74">
        <v>0.5776</v>
      </c>
      <c r="F74">
        <v>2.7057000000000001E-3</v>
      </c>
      <c r="G74">
        <v>0.96861030000000004</v>
      </c>
      <c r="H74">
        <v>0.95131487999999997</v>
      </c>
      <c r="I74">
        <v>0</v>
      </c>
      <c r="J74">
        <v>0.63890000000000002</v>
      </c>
      <c r="K74" s="3">
        <v>1.60183422</v>
      </c>
      <c r="L74">
        <v>-1.0134789999999999E-2</v>
      </c>
      <c r="M74">
        <v>0</v>
      </c>
      <c r="N74">
        <v>1E-3</v>
      </c>
      <c r="O74">
        <v>0.56099171000000003</v>
      </c>
      <c r="P74">
        <v>-5.3125999999999998E-4</v>
      </c>
      <c r="Q74">
        <v>5.3125999999999998E-4</v>
      </c>
      <c r="R74">
        <v>3.2016E-4</v>
      </c>
      <c r="S74">
        <v>1.95</v>
      </c>
      <c r="T74">
        <v>0.05</v>
      </c>
      <c r="U74">
        <v>1.9506409199999999</v>
      </c>
      <c r="V74">
        <v>-2.1800000000000001E-5</v>
      </c>
      <c r="W74">
        <v>1.03607E-3</v>
      </c>
      <c r="X74">
        <v>0</v>
      </c>
      <c r="Y74" s="7">
        <v>0.77757381000000003</v>
      </c>
      <c r="Z74" s="7">
        <v>0.57756806999999999</v>
      </c>
      <c r="AA74" s="7">
        <v>0.96861030000000004</v>
      </c>
    </row>
    <row r="75" spans="1:27" x14ac:dyDescent="0.25">
      <c r="A75">
        <v>0</v>
      </c>
      <c r="B75">
        <v>0.222</v>
      </c>
      <c r="C75">
        <v>74</v>
      </c>
      <c r="D75">
        <v>0.77759999999999996</v>
      </c>
      <c r="E75">
        <v>0.5786</v>
      </c>
      <c r="F75">
        <v>1.3326600000000001E-3</v>
      </c>
      <c r="G75">
        <v>0.96921095999999995</v>
      </c>
      <c r="H75">
        <v>0.95131487999999997</v>
      </c>
      <c r="I75">
        <v>0</v>
      </c>
      <c r="J75">
        <v>0.63970000000000005</v>
      </c>
      <c r="K75" s="3">
        <v>1.59182975</v>
      </c>
      <c r="L75">
        <v>-1.000447E-2</v>
      </c>
      <c r="M75">
        <v>0</v>
      </c>
      <c r="N75">
        <v>5.0000000000000001E-4</v>
      </c>
      <c r="O75">
        <v>0.56150213000000004</v>
      </c>
      <c r="P75">
        <v>-2.6166999999999998E-4</v>
      </c>
      <c r="Q75">
        <v>2.6166999999999998E-4</v>
      </c>
      <c r="R75">
        <v>2.6959E-4</v>
      </c>
      <c r="S75">
        <v>1.95</v>
      </c>
      <c r="T75">
        <v>0.05</v>
      </c>
      <c r="U75">
        <v>1.9506409199999999</v>
      </c>
      <c r="V75">
        <v>-5.6999999999999996E-6</v>
      </c>
      <c r="W75">
        <v>5.1039E-4</v>
      </c>
      <c r="X75">
        <v>0</v>
      </c>
      <c r="Y75" s="7">
        <v>0.77755202000000001</v>
      </c>
      <c r="Z75" s="7">
        <v>0.57860414000000004</v>
      </c>
      <c r="AA75" s="7">
        <v>0.96921095999999995</v>
      </c>
    </row>
    <row r="76" spans="1:27" x14ac:dyDescent="0.25">
      <c r="A76">
        <v>0</v>
      </c>
      <c r="B76">
        <v>0.22500000000000001</v>
      </c>
      <c r="C76">
        <v>75</v>
      </c>
      <c r="D76">
        <v>0.77749999999999997</v>
      </c>
      <c r="E76">
        <v>0.57909999999999995</v>
      </c>
      <c r="F76">
        <v>3.2006999999999999E-4</v>
      </c>
      <c r="G76">
        <v>0.96951118000000003</v>
      </c>
      <c r="H76">
        <v>0.95131487999999997</v>
      </c>
      <c r="I76">
        <v>0</v>
      </c>
      <c r="J76">
        <v>0.64019999999999999</v>
      </c>
      <c r="K76" s="3">
        <v>1.5819553900000001</v>
      </c>
      <c r="L76">
        <v>-9.8743500000000005E-3</v>
      </c>
      <c r="M76">
        <v>0</v>
      </c>
      <c r="N76">
        <v>1E-4</v>
      </c>
      <c r="O76">
        <v>0.56162471999999997</v>
      </c>
      <c r="P76">
        <v>-6.2849999999999996E-5</v>
      </c>
      <c r="Q76">
        <v>6.2849999999999996E-5</v>
      </c>
      <c r="R76">
        <v>1.9882E-4</v>
      </c>
      <c r="S76">
        <v>1.95</v>
      </c>
      <c r="T76">
        <v>0.05</v>
      </c>
      <c r="U76">
        <v>1.9506409199999999</v>
      </c>
      <c r="V76">
        <v>-1.6999999999999999E-7</v>
      </c>
      <c r="W76">
        <v>1.2259E-4</v>
      </c>
      <c r="X76">
        <v>0</v>
      </c>
      <c r="Y76" s="7">
        <v>0.77754632000000001</v>
      </c>
      <c r="Z76" s="7">
        <v>0.57911453000000002</v>
      </c>
      <c r="AA76" s="7">
        <v>0.96951118000000003</v>
      </c>
    </row>
    <row r="77" spans="1:27" x14ac:dyDescent="0.25">
      <c r="A77">
        <v>0</v>
      </c>
      <c r="B77">
        <v>0.22800000000000001</v>
      </c>
      <c r="C77">
        <v>76</v>
      </c>
      <c r="D77">
        <v>0.77749999999999997</v>
      </c>
      <c r="E77">
        <v>0.57920000000000005</v>
      </c>
      <c r="F77">
        <v>0</v>
      </c>
      <c r="G77">
        <v>0.96958427000000003</v>
      </c>
      <c r="H77">
        <v>0.95131487999999997</v>
      </c>
      <c r="I77">
        <v>0</v>
      </c>
      <c r="J77">
        <v>0.64029999999999998</v>
      </c>
      <c r="K77" s="3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7">
        <v>0</v>
      </c>
      <c r="Z77" s="7">
        <v>0</v>
      </c>
      <c r="AA77" s="7">
        <v>0</v>
      </c>
    </row>
    <row r="78" spans="1:27" x14ac:dyDescent="0.25">
      <c r="A78">
        <v>0</v>
      </c>
      <c r="B78">
        <v>0.23100000000000001</v>
      </c>
      <c r="C78">
        <v>77</v>
      </c>
      <c r="D78">
        <v>0.77759999999999996</v>
      </c>
      <c r="E78">
        <v>0.57930000000000004</v>
      </c>
      <c r="F78">
        <v>0</v>
      </c>
      <c r="G78">
        <v>0.96965736000000002</v>
      </c>
      <c r="H78">
        <v>0.95131487999999997</v>
      </c>
      <c r="I78">
        <v>0</v>
      </c>
      <c r="J78">
        <v>0.64029999999999998</v>
      </c>
      <c r="K78" s="3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7">
        <v>0</v>
      </c>
      <c r="Z78" s="7">
        <v>0</v>
      </c>
      <c r="AA78" s="7">
        <v>0</v>
      </c>
    </row>
    <row r="79" spans="1:27" x14ac:dyDescent="0.25">
      <c r="A79">
        <v>0</v>
      </c>
      <c r="B79">
        <v>0.23400000000000001</v>
      </c>
      <c r="C79">
        <v>78</v>
      </c>
      <c r="D79">
        <v>0.77759999999999996</v>
      </c>
      <c r="E79">
        <v>0.57930000000000004</v>
      </c>
      <c r="F79">
        <v>0</v>
      </c>
      <c r="G79">
        <v>0.96965736000000002</v>
      </c>
      <c r="H79">
        <v>0.95131487999999997</v>
      </c>
      <c r="I79">
        <v>0</v>
      </c>
      <c r="J79">
        <v>0.64029999999999998</v>
      </c>
      <c r="K79" s="3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7">
        <v>0</v>
      </c>
      <c r="Z79" s="7">
        <v>0</v>
      </c>
      <c r="AA79" s="7">
        <v>0</v>
      </c>
    </row>
    <row r="80" spans="1:27" x14ac:dyDescent="0.25">
      <c r="A80">
        <v>0</v>
      </c>
      <c r="B80">
        <v>0.23699999999999999</v>
      </c>
      <c r="C80">
        <v>79</v>
      </c>
      <c r="D80">
        <v>0.77759999999999996</v>
      </c>
      <c r="E80">
        <v>0.57930000000000004</v>
      </c>
      <c r="F80">
        <v>0</v>
      </c>
      <c r="G80">
        <v>0.96965736000000002</v>
      </c>
      <c r="H80">
        <v>0.95131487999999997</v>
      </c>
      <c r="I80">
        <v>0</v>
      </c>
      <c r="J80">
        <v>0.64029999999999998</v>
      </c>
      <c r="K80" s="3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7">
        <v>0</v>
      </c>
      <c r="Z80" s="7">
        <v>0</v>
      </c>
      <c r="AA80" s="7">
        <v>0</v>
      </c>
    </row>
    <row r="81" spans="1:27" x14ac:dyDescent="0.25">
      <c r="A81">
        <v>0</v>
      </c>
      <c r="B81">
        <v>0.24</v>
      </c>
      <c r="C81">
        <v>80</v>
      </c>
      <c r="D81">
        <v>0.77759999999999996</v>
      </c>
      <c r="E81">
        <v>0.57930000000000004</v>
      </c>
      <c r="F81">
        <v>0</v>
      </c>
      <c r="G81">
        <v>0.96965736000000002</v>
      </c>
      <c r="H81">
        <v>0.95131487999999997</v>
      </c>
      <c r="I81">
        <v>0</v>
      </c>
      <c r="J81">
        <v>0.64029999999999998</v>
      </c>
      <c r="K81" s="3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7">
        <v>0</v>
      </c>
      <c r="Z81" s="7">
        <v>0</v>
      </c>
      <c r="AA81" s="7">
        <v>0</v>
      </c>
    </row>
    <row r="82" spans="1:27" x14ac:dyDescent="0.25">
      <c r="A82">
        <v>0</v>
      </c>
      <c r="B82">
        <v>0.24299999999999999</v>
      </c>
      <c r="C82">
        <v>81</v>
      </c>
      <c r="D82">
        <v>0.77759999999999996</v>
      </c>
      <c r="E82">
        <v>0.57930000000000004</v>
      </c>
      <c r="F82">
        <v>0</v>
      </c>
      <c r="G82">
        <v>0.96965736000000002</v>
      </c>
      <c r="H82">
        <v>0.95131487999999997</v>
      </c>
      <c r="I82">
        <v>0</v>
      </c>
      <c r="J82">
        <v>0.64029999999999998</v>
      </c>
      <c r="K82" s="3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7">
        <v>0</v>
      </c>
      <c r="Z82" s="7">
        <v>0</v>
      </c>
      <c r="AA82" s="7">
        <v>0</v>
      </c>
    </row>
    <row r="83" spans="1:27" x14ac:dyDescent="0.25">
      <c r="A83">
        <v>0</v>
      </c>
      <c r="B83">
        <v>0.246</v>
      </c>
      <c r="C83">
        <v>82</v>
      </c>
      <c r="D83">
        <v>0.77759999999999996</v>
      </c>
      <c r="E83">
        <v>0.57930000000000004</v>
      </c>
      <c r="F83">
        <v>0</v>
      </c>
      <c r="G83">
        <v>0.96965736000000002</v>
      </c>
      <c r="H83">
        <v>0.95131487999999997</v>
      </c>
      <c r="I83">
        <v>0</v>
      </c>
      <c r="J83">
        <v>0.64029999999999998</v>
      </c>
      <c r="K83" s="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7">
        <v>0</v>
      </c>
      <c r="Z83" s="7">
        <v>0</v>
      </c>
      <c r="AA83" s="7">
        <v>0</v>
      </c>
    </row>
    <row r="84" spans="1:27" x14ac:dyDescent="0.25">
      <c r="A84">
        <v>0</v>
      </c>
      <c r="B84">
        <v>0.249</v>
      </c>
      <c r="C84">
        <v>83</v>
      </c>
      <c r="D84">
        <v>0.77759999999999996</v>
      </c>
      <c r="E84">
        <v>0.57930000000000004</v>
      </c>
      <c r="F84">
        <v>0</v>
      </c>
      <c r="G84">
        <v>0.96965736000000002</v>
      </c>
      <c r="H84">
        <v>0.95131487999999997</v>
      </c>
      <c r="I84">
        <v>0</v>
      </c>
      <c r="J84">
        <v>0.64029999999999998</v>
      </c>
      <c r="K84" s="3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7">
        <v>0</v>
      </c>
      <c r="Z84" s="7">
        <v>0</v>
      </c>
      <c r="AA84" s="7">
        <v>0</v>
      </c>
    </row>
    <row r="85" spans="1:27" x14ac:dyDescent="0.25">
      <c r="A85">
        <v>0</v>
      </c>
      <c r="B85">
        <v>0.252</v>
      </c>
      <c r="C85">
        <v>84</v>
      </c>
      <c r="D85">
        <v>0.77759999999999996</v>
      </c>
      <c r="E85">
        <v>0.57930000000000004</v>
      </c>
      <c r="F85">
        <v>0</v>
      </c>
      <c r="G85">
        <v>0.96965736000000002</v>
      </c>
      <c r="H85">
        <v>0.95131487999999997</v>
      </c>
      <c r="I85">
        <v>0</v>
      </c>
      <c r="J85">
        <v>0.64029999999999998</v>
      </c>
      <c r="K85" s="3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7">
        <v>0</v>
      </c>
      <c r="Z85" s="7">
        <v>0</v>
      </c>
      <c r="AA85" s="7">
        <v>0</v>
      </c>
    </row>
    <row r="86" spans="1:27" x14ac:dyDescent="0.25">
      <c r="A86">
        <v>0</v>
      </c>
      <c r="B86">
        <v>0.255</v>
      </c>
      <c r="C86">
        <v>85</v>
      </c>
      <c r="D86">
        <v>0.77759999999999996</v>
      </c>
      <c r="E86">
        <v>0.57930000000000004</v>
      </c>
      <c r="F86">
        <v>0</v>
      </c>
      <c r="G86">
        <v>0.96965736000000002</v>
      </c>
      <c r="H86">
        <v>0.95131487999999997</v>
      </c>
      <c r="I86">
        <v>0</v>
      </c>
      <c r="J86">
        <v>0.64029999999999998</v>
      </c>
      <c r="K86" s="3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7">
        <v>0</v>
      </c>
      <c r="Z86" s="7">
        <v>0</v>
      </c>
      <c r="AA86" s="7">
        <v>0</v>
      </c>
    </row>
    <row r="87" spans="1:27" x14ac:dyDescent="0.25">
      <c r="A87">
        <v>0</v>
      </c>
      <c r="B87">
        <v>0.25800000000000001</v>
      </c>
      <c r="C87">
        <v>86</v>
      </c>
      <c r="D87">
        <v>0.77759999999999996</v>
      </c>
      <c r="E87">
        <v>0.57930000000000004</v>
      </c>
      <c r="F87">
        <v>0</v>
      </c>
      <c r="G87">
        <v>0.96965736000000002</v>
      </c>
      <c r="H87">
        <v>0.95131487999999997</v>
      </c>
      <c r="I87">
        <v>0</v>
      </c>
      <c r="J87">
        <v>0.64029999999999998</v>
      </c>
      <c r="K87" s="3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7">
        <v>0</v>
      </c>
      <c r="Z87" s="7">
        <v>0</v>
      </c>
      <c r="AA87" s="7">
        <v>0</v>
      </c>
    </row>
    <row r="88" spans="1:27" x14ac:dyDescent="0.25">
      <c r="A88">
        <v>0</v>
      </c>
      <c r="B88">
        <v>0.26100000000000001</v>
      </c>
      <c r="C88">
        <v>87</v>
      </c>
      <c r="D88">
        <v>0.77759999999999996</v>
      </c>
      <c r="E88">
        <v>0.57930000000000004</v>
      </c>
      <c r="F88">
        <v>0</v>
      </c>
      <c r="G88">
        <v>0.96965736000000002</v>
      </c>
      <c r="H88">
        <v>0.95131487999999997</v>
      </c>
      <c r="I88">
        <v>0</v>
      </c>
      <c r="J88">
        <v>0.64029999999999998</v>
      </c>
      <c r="K88" s="3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7">
        <v>0</v>
      </c>
      <c r="Z88" s="7">
        <v>0</v>
      </c>
      <c r="AA88" s="7">
        <v>0</v>
      </c>
    </row>
    <row r="89" spans="1:27" x14ac:dyDescent="0.25">
      <c r="A89">
        <v>0</v>
      </c>
      <c r="B89">
        <v>0.26400000000000001</v>
      </c>
      <c r="C89">
        <v>88</v>
      </c>
      <c r="D89">
        <v>0.77759999999999996</v>
      </c>
      <c r="E89">
        <v>0.57930000000000004</v>
      </c>
      <c r="F89">
        <v>0</v>
      </c>
      <c r="G89">
        <v>0.96965736000000002</v>
      </c>
      <c r="H89">
        <v>0.95131487999999997</v>
      </c>
      <c r="I89">
        <v>0</v>
      </c>
      <c r="J89">
        <v>0.64029999999999998</v>
      </c>
      <c r="K89" s="3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7">
        <v>0</v>
      </c>
      <c r="Z89" s="7">
        <v>0</v>
      </c>
      <c r="AA89" s="7">
        <v>0</v>
      </c>
    </row>
    <row r="90" spans="1:27" x14ac:dyDescent="0.25">
      <c r="A90">
        <v>0</v>
      </c>
      <c r="B90">
        <v>0.26700000000000002</v>
      </c>
      <c r="C90">
        <v>89</v>
      </c>
      <c r="D90">
        <v>0.77759999999999996</v>
      </c>
      <c r="E90">
        <v>0.57930000000000004</v>
      </c>
      <c r="F90">
        <v>0</v>
      </c>
      <c r="G90">
        <v>0.96965736000000002</v>
      </c>
      <c r="H90">
        <v>0.95131487999999997</v>
      </c>
      <c r="I90">
        <v>0</v>
      </c>
      <c r="J90">
        <v>0.64029999999999998</v>
      </c>
      <c r="K90" s="3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7">
        <v>0</v>
      </c>
      <c r="Z90" s="7">
        <v>0</v>
      </c>
      <c r="AA90" s="7">
        <v>0</v>
      </c>
    </row>
    <row r="91" spans="1:27" x14ac:dyDescent="0.25">
      <c r="A91">
        <v>0</v>
      </c>
      <c r="B91">
        <v>0.27</v>
      </c>
      <c r="C91">
        <v>90</v>
      </c>
      <c r="D91">
        <v>0.77759999999999996</v>
      </c>
      <c r="E91">
        <v>0.57930000000000004</v>
      </c>
      <c r="F91">
        <v>0</v>
      </c>
      <c r="G91">
        <v>0.96965736000000002</v>
      </c>
      <c r="H91">
        <v>0.95131487999999997</v>
      </c>
      <c r="I91">
        <v>0</v>
      </c>
      <c r="J91">
        <v>0.64029999999999998</v>
      </c>
      <c r="K91" s="3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7">
        <v>0</v>
      </c>
      <c r="Z91" s="7">
        <v>0</v>
      </c>
      <c r="AA91" s="7">
        <v>0</v>
      </c>
    </row>
    <row r="92" spans="1:27" x14ac:dyDescent="0.25">
      <c r="A92">
        <v>0</v>
      </c>
      <c r="B92">
        <v>0.27300000000000002</v>
      </c>
      <c r="C92">
        <v>91</v>
      </c>
      <c r="D92">
        <v>0.77759999999999996</v>
      </c>
      <c r="E92">
        <v>0.57930000000000004</v>
      </c>
      <c r="F92">
        <v>0</v>
      </c>
      <c r="G92">
        <v>0.96965736000000002</v>
      </c>
      <c r="H92">
        <v>0.95131487999999997</v>
      </c>
      <c r="I92">
        <v>0</v>
      </c>
      <c r="J92">
        <v>0.64029999999999998</v>
      </c>
      <c r="K92" s="3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7">
        <v>0</v>
      </c>
      <c r="Z92" s="7">
        <v>0</v>
      </c>
      <c r="AA92" s="7">
        <v>0</v>
      </c>
    </row>
    <row r="93" spans="1:27" x14ac:dyDescent="0.25">
      <c r="A93">
        <v>0</v>
      </c>
      <c r="B93">
        <v>0.27600000000000002</v>
      </c>
      <c r="C93">
        <v>92</v>
      </c>
      <c r="D93">
        <v>0.77759999999999996</v>
      </c>
      <c r="E93">
        <v>0.57930000000000004</v>
      </c>
      <c r="F93">
        <v>0</v>
      </c>
      <c r="G93">
        <v>0.96965736000000002</v>
      </c>
      <c r="H93">
        <v>0.95131487999999997</v>
      </c>
      <c r="I93">
        <v>0</v>
      </c>
      <c r="J93">
        <v>0.64029999999999998</v>
      </c>
      <c r="K93" s="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7">
        <v>0</v>
      </c>
      <c r="Z93" s="7">
        <v>0</v>
      </c>
      <c r="AA93" s="7">
        <v>0</v>
      </c>
    </row>
    <row r="94" spans="1:27" x14ac:dyDescent="0.25">
      <c r="A94">
        <v>0</v>
      </c>
      <c r="B94">
        <v>0.27900000000000003</v>
      </c>
      <c r="C94">
        <v>93</v>
      </c>
      <c r="D94">
        <v>0.77759999999999996</v>
      </c>
      <c r="E94">
        <v>0.57930000000000004</v>
      </c>
      <c r="F94">
        <v>0</v>
      </c>
      <c r="G94">
        <v>0.96965736000000002</v>
      </c>
      <c r="H94">
        <v>0.95131487999999997</v>
      </c>
      <c r="I94">
        <v>0</v>
      </c>
      <c r="J94">
        <v>0.64029999999999998</v>
      </c>
      <c r="K94" s="3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7">
        <v>0</v>
      </c>
      <c r="Z94" s="7">
        <v>0</v>
      </c>
      <c r="AA94" s="7">
        <v>0</v>
      </c>
    </row>
    <row r="95" spans="1:27" x14ac:dyDescent="0.25">
      <c r="A95">
        <v>0</v>
      </c>
      <c r="B95">
        <v>0.28199999999999997</v>
      </c>
      <c r="C95">
        <v>94</v>
      </c>
      <c r="D95">
        <v>0.77759999999999996</v>
      </c>
      <c r="E95">
        <v>0.57930000000000004</v>
      </c>
      <c r="F95">
        <v>0</v>
      </c>
      <c r="G95">
        <v>0.96965736000000002</v>
      </c>
      <c r="H95">
        <v>0.95131487999999997</v>
      </c>
      <c r="I95">
        <v>0</v>
      </c>
      <c r="J95">
        <v>0.64029999999999998</v>
      </c>
      <c r="K95" s="3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7">
        <v>0</v>
      </c>
      <c r="Z95" s="7">
        <v>0</v>
      </c>
      <c r="AA95" s="7">
        <v>0</v>
      </c>
    </row>
    <row r="96" spans="1:27" x14ac:dyDescent="0.25">
      <c r="A96">
        <v>0</v>
      </c>
      <c r="B96">
        <v>0.28499999999999998</v>
      </c>
      <c r="C96">
        <v>95</v>
      </c>
      <c r="D96">
        <v>0.77759999999999996</v>
      </c>
      <c r="E96">
        <v>0.57930000000000004</v>
      </c>
      <c r="F96">
        <v>0</v>
      </c>
      <c r="G96">
        <v>0.96965736000000002</v>
      </c>
      <c r="H96">
        <v>0.95131487999999997</v>
      </c>
      <c r="I96">
        <v>0</v>
      </c>
      <c r="J96">
        <v>0.64029999999999998</v>
      </c>
      <c r="K96" s="3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7">
        <v>0</v>
      </c>
      <c r="Z96" s="7">
        <v>0</v>
      </c>
      <c r="AA96" s="7">
        <v>0</v>
      </c>
    </row>
    <row r="97" spans="1:27" x14ac:dyDescent="0.25">
      <c r="A97">
        <v>0</v>
      </c>
      <c r="B97">
        <v>0.28799999999999998</v>
      </c>
      <c r="C97">
        <v>96</v>
      </c>
      <c r="D97">
        <v>0.77759999999999996</v>
      </c>
      <c r="E97">
        <v>0.57930000000000004</v>
      </c>
      <c r="F97">
        <v>0</v>
      </c>
      <c r="G97">
        <v>0.96965736000000002</v>
      </c>
      <c r="H97">
        <v>0.95131487999999997</v>
      </c>
      <c r="I97">
        <v>0</v>
      </c>
      <c r="J97">
        <v>0.64029999999999998</v>
      </c>
      <c r="K97" s="3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7">
        <v>0</v>
      </c>
      <c r="Z97" s="7">
        <v>0</v>
      </c>
      <c r="AA97" s="7">
        <v>0</v>
      </c>
    </row>
    <row r="98" spans="1:27" x14ac:dyDescent="0.25">
      <c r="A98">
        <v>0</v>
      </c>
      <c r="B98">
        <v>0.29099999999999998</v>
      </c>
      <c r="C98">
        <v>97</v>
      </c>
      <c r="D98">
        <v>0.77759999999999996</v>
      </c>
      <c r="E98">
        <v>0.57930000000000004</v>
      </c>
      <c r="F98">
        <v>0</v>
      </c>
      <c r="G98">
        <v>0.96965736000000002</v>
      </c>
      <c r="H98">
        <v>0.95131487999999997</v>
      </c>
      <c r="I98">
        <v>0</v>
      </c>
      <c r="J98">
        <v>0.64029999999999998</v>
      </c>
      <c r="K98" s="3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7">
        <v>0</v>
      </c>
      <c r="Z98" s="7">
        <v>0</v>
      </c>
      <c r="AA98" s="7">
        <v>0</v>
      </c>
    </row>
    <row r="99" spans="1:27" x14ac:dyDescent="0.25">
      <c r="A99">
        <v>0</v>
      </c>
      <c r="B99">
        <v>0.29399999999999998</v>
      </c>
      <c r="C99">
        <v>98</v>
      </c>
      <c r="D99">
        <v>0.77759999999999996</v>
      </c>
      <c r="E99">
        <v>0.57930000000000004</v>
      </c>
      <c r="F99">
        <v>0</v>
      </c>
      <c r="G99">
        <v>0.96965736000000002</v>
      </c>
      <c r="H99">
        <v>0.95131487999999997</v>
      </c>
      <c r="I99">
        <v>0</v>
      </c>
      <c r="J99">
        <v>0.64029999999999998</v>
      </c>
      <c r="K99" s="3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7">
        <v>0</v>
      </c>
      <c r="Z99" s="7">
        <v>0</v>
      </c>
      <c r="AA99" s="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6695-E6BD-47E1-A1D3-51641D8221FB}">
  <dimension ref="A1:AA99"/>
  <sheetViews>
    <sheetView topLeftCell="H58" workbookViewId="0">
      <selection sqref="A1:AA83"/>
    </sheetView>
  </sheetViews>
  <sheetFormatPr defaultRowHeight="15" x14ac:dyDescent="0.25"/>
  <cols>
    <col min="1" max="1" width="4.42578125" bestFit="1" customWidth="1"/>
    <col min="2" max="2" width="6" bestFit="1" customWidth="1"/>
    <col min="3" max="3" width="6.42578125" bestFit="1" customWidth="1"/>
    <col min="4" max="5" width="7.7109375" bestFit="1" customWidth="1"/>
    <col min="6" max="6" width="12.85546875" bestFit="1" customWidth="1"/>
    <col min="7" max="7" width="11" bestFit="1" customWidth="1"/>
    <col min="8" max="8" width="13.140625" bestFit="1" customWidth="1"/>
    <col min="9" max="9" width="8.42578125" bestFit="1" customWidth="1"/>
    <col min="10" max="10" width="8.28515625" bestFit="1" customWidth="1"/>
    <col min="11" max="11" width="10.5703125" style="3" bestFit="1" customWidth="1"/>
    <col min="12" max="12" width="11.28515625" bestFit="1" customWidth="1"/>
    <col min="13" max="14" width="9.42578125" bestFit="1" customWidth="1"/>
    <col min="15" max="15" width="11" bestFit="1" customWidth="1"/>
    <col min="16" max="16" width="11.7109375" bestFit="1" customWidth="1"/>
    <col min="17" max="17" width="11" bestFit="1" customWidth="1"/>
    <col min="18" max="18" width="11.7109375" bestFit="1" customWidth="1"/>
    <col min="19" max="20" width="8.5703125" bestFit="1" customWidth="1"/>
    <col min="21" max="21" width="11" bestFit="1" customWidth="1"/>
    <col min="22" max="23" width="11.7109375" bestFit="1" customWidth="1"/>
    <col min="24" max="24" width="14.42578125" bestFit="1" customWidth="1"/>
    <col min="25" max="26" width="11.7109375" bestFit="1" customWidth="1"/>
    <col min="27" max="27" width="11" bestFit="1" customWidth="1"/>
    <col min="28" max="28" width="14.42578125" customWidth="1"/>
  </cols>
  <sheetData>
    <row r="1" spans="1:27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26</v>
      </c>
      <c r="J1" t="s">
        <v>8</v>
      </c>
      <c r="K1" s="3" t="s">
        <v>33</v>
      </c>
      <c r="L1" t="s">
        <v>27</v>
      </c>
      <c r="M1" t="s">
        <v>9</v>
      </c>
      <c r="N1" t="s">
        <v>10</v>
      </c>
      <c r="O1" t="s">
        <v>7</v>
      </c>
      <c r="P1" t="s">
        <v>28</v>
      </c>
      <c r="Q1" t="s">
        <v>11</v>
      </c>
      <c r="R1" t="s">
        <v>16</v>
      </c>
      <c r="S1" t="s">
        <v>23</v>
      </c>
      <c r="T1" t="s">
        <v>24</v>
      </c>
      <c r="U1" t="s">
        <v>22</v>
      </c>
      <c r="V1" t="s">
        <v>29</v>
      </c>
      <c r="W1" t="s">
        <v>30</v>
      </c>
      <c r="X1" t="s">
        <v>31</v>
      </c>
      <c r="Y1" t="s">
        <v>39</v>
      </c>
      <c r="Z1" t="s">
        <v>40</v>
      </c>
      <c r="AA1" t="s">
        <v>41</v>
      </c>
    </row>
    <row r="2" spans="1:27" x14ac:dyDescent="0.25">
      <c r="A2">
        <v>1</v>
      </c>
      <c r="B2">
        <v>3.0000000000000001E-3</v>
      </c>
      <c r="C2">
        <v>1</v>
      </c>
      <c r="D2">
        <v>-1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3">
        <v>0</v>
      </c>
      <c r="L2" s="3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1</v>
      </c>
      <c r="B3">
        <v>6.0000000000000001E-3</v>
      </c>
      <c r="C3">
        <v>2</v>
      </c>
      <c r="D3">
        <v>-1</v>
      </c>
      <c r="E3">
        <v>0</v>
      </c>
      <c r="F3">
        <v>0</v>
      </c>
      <c r="G3">
        <v>1</v>
      </c>
      <c r="H3">
        <v>0</v>
      </c>
      <c r="I3">
        <v>0</v>
      </c>
      <c r="J3">
        <v>3.1415999999999999</v>
      </c>
      <c r="K3" s="3">
        <v>0</v>
      </c>
      <c r="L3" s="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1</v>
      </c>
      <c r="B4">
        <v>8.9999999999999993E-3</v>
      </c>
      <c r="C4">
        <v>3</v>
      </c>
      <c r="D4">
        <v>-1</v>
      </c>
      <c r="E4">
        <v>0</v>
      </c>
      <c r="F4">
        <v>0</v>
      </c>
      <c r="G4">
        <v>1</v>
      </c>
      <c r="H4">
        <v>0</v>
      </c>
      <c r="I4">
        <v>0</v>
      </c>
      <c r="J4">
        <v>3.1415999999999999</v>
      </c>
      <c r="K4" s="3">
        <v>0</v>
      </c>
      <c r="L4" s="3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1</v>
      </c>
      <c r="B5">
        <v>1.2E-2</v>
      </c>
      <c r="C5">
        <v>4</v>
      </c>
      <c r="D5">
        <v>-1</v>
      </c>
      <c r="E5">
        <v>0</v>
      </c>
      <c r="F5">
        <v>0</v>
      </c>
      <c r="G5">
        <v>1</v>
      </c>
      <c r="H5">
        <v>0</v>
      </c>
      <c r="I5">
        <v>0</v>
      </c>
      <c r="J5">
        <v>3.1415999999999999</v>
      </c>
      <c r="K5" s="3">
        <v>0</v>
      </c>
      <c r="L5" s="3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1</v>
      </c>
      <c r="B6">
        <v>1.4999999999999999E-2</v>
      </c>
      <c r="C6">
        <v>5</v>
      </c>
      <c r="D6">
        <v>-1</v>
      </c>
      <c r="E6">
        <v>0</v>
      </c>
      <c r="F6">
        <v>0</v>
      </c>
      <c r="G6">
        <v>1</v>
      </c>
      <c r="H6">
        <v>0</v>
      </c>
      <c r="I6">
        <v>0</v>
      </c>
      <c r="J6">
        <v>3.1415999999999999</v>
      </c>
      <c r="K6" s="3">
        <v>0</v>
      </c>
      <c r="L6" s="3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1</v>
      </c>
      <c r="B7">
        <v>1.7999999999999999E-2</v>
      </c>
      <c r="C7">
        <v>6</v>
      </c>
      <c r="D7">
        <v>-1</v>
      </c>
      <c r="E7">
        <v>0</v>
      </c>
      <c r="F7">
        <v>0</v>
      </c>
      <c r="G7">
        <v>1</v>
      </c>
      <c r="H7">
        <v>0</v>
      </c>
      <c r="I7">
        <v>0</v>
      </c>
      <c r="J7">
        <v>3.1415999999999999</v>
      </c>
      <c r="K7" s="3">
        <v>0</v>
      </c>
      <c r="L7" s="3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1</v>
      </c>
      <c r="B8">
        <v>2.1000000000000001E-2</v>
      </c>
      <c r="C8">
        <v>7</v>
      </c>
      <c r="D8">
        <v>-1</v>
      </c>
      <c r="E8">
        <v>0</v>
      </c>
      <c r="F8">
        <v>0</v>
      </c>
      <c r="G8">
        <v>1</v>
      </c>
      <c r="H8">
        <v>0</v>
      </c>
      <c r="I8">
        <v>0</v>
      </c>
      <c r="J8">
        <v>3.1415999999999999</v>
      </c>
      <c r="K8" s="3">
        <v>0</v>
      </c>
      <c r="L8" s="3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1</v>
      </c>
      <c r="B9">
        <v>2.4E-2</v>
      </c>
      <c r="C9">
        <v>8</v>
      </c>
      <c r="D9">
        <v>-1</v>
      </c>
      <c r="E9">
        <v>0</v>
      </c>
      <c r="F9">
        <v>0</v>
      </c>
      <c r="G9">
        <v>1</v>
      </c>
      <c r="H9">
        <v>0</v>
      </c>
      <c r="I9">
        <v>0</v>
      </c>
      <c r="J9">
        <v>3.1415999999999999</v>
      </c>
      <c r="K9" s="3">
        <v>0</v>
      </c>
      <c r="L9" s="3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1</v>
      </c>
      <c r="B10">
        <v>2.7E-2</v>
      </c>
      <c r="C10">
        <v>9</v>
      </c>
      <c r="D10">
        <v>-1</v>
      </c>
      <c r="E10">
        <v>0</v>
      </c>
      <c r="F10">
        <v>0</v>
      </c>
      <c r="G10">
        <v>1</v>
      </c>
      <c r="H10">
        <v>0</v>
      </c>
      <c r="I10">
        <v>0</v>
      </c>
      <c r="J10">
        <v>3.1415999999999999</v>
      </c>
      <c r="K10" s="3">
        <v>0</v>
      </c>
      <c r="L10" s="3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1</v>
      </c>
      <c r="B11">
        <v>0.03</v>
      </c>
      <c r="C11">
        <v>10</v>
      </c>
      <c r="D11">
        <v>-1</v>
      </c>
      <c r="E11">
        <v>0</v>
      </c>
      <c r="F11">
        <v>0</v>
      </c>
      <c r="G11">
        <v>1</v>
      </c>
      <c r="H11">
        <v>0</v>
      </c>
      <c r="I11">
        <v>0</v>
      </c>
      <c r="J11">
        <v>3.1415999999999999</v>
      </c>
      <c r="K11" s="3">
        <v>0</v>
      </c>
      <c r="L11" s="3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1</v>
      </c>
      <c r="B12">
        <v>3.3000000000000002E-2</v>
      </c>
      <c r="C12">
        <v>11</v>
      </c>
      <c r="D12">
        <v>-1</v>
      </c>
      <c r="E12">
        <v>0</v>
      </c>
      <c r="F12">
        <v>0</v>
      </c>
      <c r="G12">
        <v>1</v>
      </c>
      <c r="H12">
        <v>0</v>
      </c>
      <c r="I12">
        <v>0</v>
      </c>
      <c r="J12">
        <v>3.1415999999999999</v>
      </c>
      <c r="K12" s="3">
        <v>0</v>
      </c>
      <c r="L12" s="3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1</v>
      </c>
      <c r="B13">
        <v>3.5999999999999997E-2</v>
      </c>
      <c r="C13">
        <v>12</v>
      </c>
      <c r="D13">
        <v>-1</v>
      </c>
      <c r="E13">
        <v>0</v>
      </c>
      <c r="F13">
        <v>0</v>
      </c>
      <c r="G13">
        <v>1</v>
      </c>
      <c r="H13">
        <v>0</v>
      </c>
      <c r="I13">
        <v>0</v>
      </c>
      <c r="J13">
        <v>3.1415999999999999</v>
      </c>
      <c r="K13" s="3">
        <v>0</v>
      </c>
      <c r="L13" s="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1</v>
      </c>
      <c r="B14">
        <v>3.9E-2</v>
      </c>
      <c r="C14">
        <v>13</v>
      </c>
      <c r="D14">
        <v>-1</v>
      </c>
      <c r="E14">
        <v>0</v>
      </c>
      <c r="F14">
        <v>0</v>
      </c>
      <c r="G14">
        <v>1</v>
      </c>
      <c r="H14">
        <v>0</v>
      </c>
      <c r="I14">
        <v>0</v>
      </c>
      <c r="J14">
        <v>3.1415999999999999</v>
      </c>
      <c r="K14" s="3">
        <v>0</v>
      </c>
      <c r="L14" s="3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1</v>
      </c>
      <c r="B15">
        <v>4.2000000000000003E-2</v>
      </c>
      <c r="C15">
        <v>14</v>
      </c>
      <c r="D15">
        <v>-1</v>
      </c>
      <c r="E15">
        <v>0</v>
      </c>
      <c r="F15">
        <v>0</v>
      </c>
      <c r="G15">
        <v>1</v>
      </c>
      <c r="H15">
        <v>0</v>
      </c>
      <c r="I15">
        <v>0</v>
      </c>
      <c r="J15">
        <v>3.1415999999999999</v>
      </c>
      <c r="K15" s="3">
        <v>0</v>
      </c>
      <c r="L15" s="3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1</v>
      </c>
      <c r="B16">
        <v>4.4999999999999998E-2</v>
      </c>
      <c r="C16">
        <v>15</v>
      </c>
      <c r="D16">
        <v>-1</v>
      </c>
      <c r="E16">
        <v>0</v>
      </c>
      <c r="F16">
        <v>0</v>
      </c>
      <c r="G16">
        <v>1</v>
      </c>
      <c r="H16">
        <v>0</v>
      </c>
      <c r="I16">
        <v>0</v>
      </c>
      <c r="J16">
        <v>3.1415999999999999</v>
      </c>
      <c r="K16" s="3">
        <v>0</v>
      </c>
      <c r="L16" s="3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1</v>
      </c>
      <c r="B17">
        <v>4.8000000000000001E-2</v>
      </c>
      <c r="C17">
        <v>16</v>
      </c>
      <c r="D17">
        <v>-1</v>
      </c>
      <c r="E17">
        <v>0</v>
      </c>
      <c r="F17">
        <v>0</v>
      </c>
      <c r="G17">
        <v>1</v>
      </c>
      <c r="H17">
        <v>0</v>
      </c>
      <c r="I17">
        <v>0</v>
      </c>
      <c r="J17">
        <v>3.1415999999999999</v>
      </c>
      <c r="K17" s="3">
        <v>0</v>
      </c>
      <c r="L17" s="3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1</v>
      </c>
      <c r="B18">
        <v>5.0999999999999997E-2</v>
      </c>
      <c r="C18">
        <v>17</v>
      </c>
      <c r="D18">
        <v>-1</v>
      </c>
      <c r="E18">
        <v>0</v>
      </c>
      <c r="F18">
        <v>0</v>
      </c>
      <c r="G18">
        <v>1</v>
      </c>
      <c r="H18">
        <v>0</v>
      </c>
      <c r="I18">
        <v>0</v>
      </c>
      <c r="J18">
        <v>3.1415999999999999</v>
      </c>
      <c r="K18" s="3">
        <v>0</v>
      </c>
      <c r="L18" s="3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1</v>
      </c>
      <c r="B19">
        <v>5.3999999999999999E-2</v>
      </c>
      <c r="C19">
        <v>18</v>
      </c>
      <c r="D19">
        <v>-1</v>
      </c>
      <c r="E19">
        <v>0</v>
      </c>
      <c r="F19">
        <v>0</v>
      </c>
      <c r="G19">
        <v>1</v>
      </c>
      <c r="H19">
        <v>0</v>
      </c>
      <c r="I19">
        <v>0</v>
      </c>
      <c r="J19">
        <v>3.1415999999999999</v>
      </c>
      <c r="K19" s="3">
        <v>0</v>
      </c>
      <c r="L19" s="3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1</v>
      </c>
      <c r="B20">
        <v>5.7000000000000002E-2</v>
      </c>
      <c r="C20">
        <v>19</v>
      </c>
      <c r="D20">
        <v>-1</v>
      </c>
      <c r="E20">
        <v>0</v>
      </c>
      <c r="F20">
        <v>1.0503E-4</v>
      </c>
      <c r="G20">
        <v>1</v>
      </c>
      <c r="H20">
        <v>1</v>
      </c>
      <c r="I20">
        <v>0</v>
      </c>
      <c r="J20">
        <v>3.1415999999999999</v>
      </c>
      <c r="K20" s="3">
        <v>0</v>
      </c>
      <c r="L20" s="3">
        <v>0</v>
      </c>
      <c r="M20">
        <v>0</v>
      </c>
      <c r="N20">
        <v>0</v>
      </c>
      <c r="O20">
        <v>4.0229999999999999E-5</v>
      </c>
      <c r="P20">
        <v>-2.0619999999999999E-5</v>
      </c>
      <c r="Q20">
        <v>2.0619999999999999E-5</v>
      </c>
      <c r="R20">
        <v>-2.0619999999999999E-5</v>
      </c>
      <c r="S20">
        <v>-1.95</v>
      </c>
      <c r="T20">
        <v>-0.05</v>
      </c>
      <c r="U20">
        <v>1.9506409199999999</v>
      </c>
      <c r="V20">
        <v>2.376E-5</v>
      </c>
      <c r="W20">
        <v>-3.2459999999999998E-5</v>
      </c>
      <c r="X20">
        <v>0</v>
      </c>
      <c r="Y20">
        <v>0.95</v>
      </c>
      <c r="Z20">
        <v>0.05</v>
      </c>
      <c r="AA20">
        <v>0</v>
      </c>
    </row>
    <row r="21" spans="1:27" x14ac:dyDescent="0.25">
      <c r="A21">
        <v>1</v>
      </c>
      <c r="B21">
        <v>0.06</v>
      </c>
      <c r="C21">
        <v>20</v>
      </c>
      <c r="D21">
        <v>-1</v>
      </c>
      <c r="E21">
        <v>0</v>
      </c>
      <c r="F21">
        <v>9.5472999999999999E-4</v>
      </c>
      <c r="G21">
        <v>0.99997623999999996</v>
      </c>
      <c r="H21">
        <v>1</v>
      </c>
      <c r="I21">
        <v>0</v>
      </c>
      <c r="J21">
        <v>3.1415999999999999</v>
      </c>
      <c r="K21" s="3">
        <v>5.3441466699999998</v>
      </c>
      <c r="L21" s="3">
        <v>0</v>
      </c>
      <c r="M21">
        <v>2.0000000000000001E-4</v>
      </c>
      <c r="N21">
        <v>-2.9999999999999997E-4</v>
      </c>
      <c r="O21">
        <v>4.0589000000000001E-4</v>
      </c>
      <c r="P21">
        <v>-1.8746E-4</v>
      </c>
      <c r="Q21">
        <v>1.8746E-4</v>
      </c>
      <c r="R21">
        <v>-1.6684E-4</v>
      </c>
      <c r="S21">
        <v>-1.95</v>
      </c>
      <c r="T21">
        <v>-0.05</v>
      </c>
      <c r="U21">
        <v>1.9506409199999999</v>
      </c>
      <c r="V21">
        <v>2.1308000000000001E-4</v>
      </c>
      <c r="W21">
        <v>-2.9716999999999998E-4</v>
      </c>
      <c r="X21">
        <v>0</v>
      </c>
      <c r="Y21">
        <v>-0.99997623999999996</v>
      </c>
      <c r="Z21">
        <v>-3.2459999999999998E-5</v>
      </c>
      <c r="AA21">
        <v>0.99997623999999996</v>
      </c>
    </row>
    <row r="22" spans="1:27" x14ac:dyDescent="0.25">
      <c r="A22">
        <v>1</v>
      </c>
      <c r="B22">
        <v>6.3E-2</v>
      </c>
      <c r="C22">
        <v>21</v>
      </c>
      <c r="D22">
        <v>-0.99980000000000002</v>
      </c>
      <c r="E22">
        <v>-2.9999999999999997E-4</v>
      </c>
      <c r="F22">
        <v>2.2252000000000001E-3</v>
      </c>
      <c r="G22">
        <v>0.99976321999999995</v>
      </c>
      <c r="H22">
        <v>1</v>
      </c>
      <c r="I22">
        <v>0</v>
      </c>
      <c r="J22">
        <v>3.1419000000000001</v>
      </c>
      <c r="K22" s="3">
        <v>5.3344442000000001</v>
      </c>
      <c r="L22" s="3">
        <v>-9.7024699999999995E-3</v>
      </c>
      <c r="M22">
        <v>5.0000000000000001E-4</v>
      </c>
      <c r="N22">
        <v>-6.9999999999999999E-4</v>
      </c>
      <c r="O22">
        <v>1.2581599999999999E-3</v>
      </c>
      <c r="P22">
        <v>-4.3691999999999998E-4</v>
      </c>
      <c r="Q22">
        <v>4.3691999999999998E-4</v>
      </c>
      <c r="R22">
        <v>-2.4946000000000001E-4</v>
      </c>
      <c r="S22">
        <v>-1.95</v>
      </c>
      <c r="T22">
        <v>-0.05</v>
      </c>
      <c r="U22">
        <v>1.9506409199999999</v>
      </c>
      <c r="V22">
        <v>4.8979000000000004E-4</v>
      </c>
      <c r="W22">
        <v>-6.9746999999999995E-4</v>
      </c>
      <c r="X22">
        <v>0</v>
      </c>
      <c r="Y22">
        <v>-0.99976317000000003</v>
      </c>
      <c r="Z22">
        <v>-3.2963000000000003E-4</v>
      </c>
      <c r="AA22">
        <v>0.99976321999999995</v>
      </c>
    </row>
    <row r="23" spans="1:27" x14ac:dyDescent="0.25">
      <c r="A23">
        <v>1</v>
      </c>
      <c r="B23">
        <v>6.6000000000000003E-2</v>
      </c>
      <c r="C23">
        <v>22</v>
      </c>
      <c r="D23">
        <v>-0.99929999999999997</v>
      </c>
      <c r="E23">
        <v>-1E-3</v>
      </c>
      <c r="F23">
        <v>3.7793800000000002E-3</v>
      </c>
      <c r="G23">
        <v>0.99927390999999999</v>
      </c>
      <c r="H23">
        <v>1</v>
      </c>
      <c r="I23">
        <v>0</v>
      </c>
      <c r="J23">
        <v>3.1425999999999998</v>
      </c>
      <c r="K23" s="3">
        <v>5.3246122600000003</v>
      </c>
      <c r="L23" s="3">
        <v>-9.8319400000000008E-3</v>
      </c>
      <c r="M23">
        <v>8.0000000000000004E-4</v>
      </c>
      <c r="N23">
        <v>-1.1999999999999999E-3</v>
      </c>
      <c r="O23">
        <v>2.7056900000000002E-3</v>
      </c>
      <c r="P23">
        <v>-7.4208E-4</v>
      </c>
      <c r="Q23">
        <v>7.4208E-4</v>
      </c>
      <c r="R23">
        <v>-3.0516000000000001E-4</v>
      </c>
      <c r="S23">
        <v>-1.95</v>
      </c>
      <c r="T23">
        <v>-0.05</v>
      </c>
      <c r="U23">
        <v>1.9506409199999999</v>
      </c>
      <c r="V23">
        <v>8.2003999999999996E-4</v>
      </c>
      <c r="W23">
        <v>-1.1928500000000001E-3</v>
      </c>
      <c r="X23">
        <v>0</v>
      </c>
      <c r="Y23">
        <v>-0.99927337999999999</v>
      </c>
      <c r="Z23">
        <v>-1.0271099999999999E-3</v>
      </c>
      <c r="AA23">
        <v>0.99927390999999999</v>
      </c>
    </row>
    <row r="24" spans="1:27" x14ac:dyDescent="0.25">
      <c r="A24">
        <v>1</v>
      </c>
      <c r="B24">
        <v>6.9000000000000006E-2</v>
      </c>
      <c r="C24">
        <v>23</v>
      </c>
      <c r="D24">
        <v>-0.99850000000000005</v>
      </c>
      <c r="E24">
        <v>-2.2000000000000001E-3</v>
      </c>
      <c r="F24">
        <v>5.5488400000000002E-3</v>
      </c>
      <c r="G24">
        <v>0.99845581000000005</v>
      </c>
      <c r="H24">
        <v>1</v>
      </c>
      <c r="I24">
        <v>0</v>
      </c>
      <c r="J24">
        <v>3.1438000000000001</v>
      </c>
      <c r="K24" s="3">
        <v>5.3146503300000001</v>
      </c>
      <c r="L24" s="3">
        <v>-9.9619300000000008E-3</v>
      </c>
      <c r="M24">
        <v>1.1999999999999999E-3</v>
      </c>
      <c r="N24">
        <v>-1.8E-3</v>
      </c>
      <c r="O24">
        <v>4.8309399999999997E-3</v>
      </c>
      <c r="P24">
        <v>-1.0895099999999999E-3</v>
      </c>
      <c r="Q24">
        <v>1.0895099999999999E-3</v>
      </c>
      <c r="R24">
        <v>-3.4743000000000003E-4</v>
      </c>
      <c r="S24">
        <v>-1.95</v>
      </c>
      <c r="T24">
        <v>-0.05</v>
      </c>
      <c r="U24">
        <v>1.9506409199999999</v>
      </c>
      <c r="V24">
        <v>1.1862299999999999E-3</v>
      </c>
      <c r="W24">
        <v>-1.7633900000000001E-3</v>
      </c>
      <c r="X24">
        <v>0</v>
      </c>
      <c r="Y24">
        <v>-0.99845333999999997</v>
      </c>
      <c r="Z24">
        <v>-2.21995E-3</v>
      </c>
      <c r="AA24">
        <v>0.99845581000000005</v>
      </c>
    </row>
    <row r="25" spans="1:27" x14ac:dyDescent="0.25">
      <c r="A25">
        <v>1</v>
      </c>
      <c r="B25">
        <v>7.1999999999999995E-2</v>
      </c>
      <c r="C25">
        <v>24</v>
      </c>
      <c r="D25">
        <v>-0.99729999999999996</v>
      </c>
      <c r="E25">
        <v>-4.0000000000000001E-3</v>
      </c>
      <c r="F25">
        <v>7.4872000000000003E-3</v>
      </c>
      <c r="G25">
        <v>0.99727505999999999</v>
      </c>
      <c r="H25">
        <v>1</v>
      </c>
      <c r="I25">
        <v>0</v>
      </c>
      <c r="J25">
        <v>3.1456</v>
      </c>
      <c r="K25" s="3">
        <v>5.3045581200000003</v>
      </c>
      <c r="L25" s="3">
        <v>-1.0092210000000001E-2</v>
      </c>
      <c r="M25">
        <v>1.6000000000000001E-3</v>
      </c>
      <c r="N25">
        <v>-2.3999999999999998E-3</v>
      </c>
      <c r="O25">
        <v>7.6985899999999999E-3</v>
      </c>
      <c r="P25">
        <v>-1.4701099999999999E-3</v>
      </c>
      <c r="Q25">
        <v>1.4701099999999999E-3</v>
      </c>
      <c r="R25">
        <v>-3.8059999999999998E-4</v>
      </c>
      <c r="S25">
        <v>-1.95</v>
      </c>
      <c r="T25">
        <v>-0.05</v>
      </c>
      <c r="U25">
        <v>1.9506409199999999</v>
      </c>
      <c r="V25">
        <v>1.57621E-3</v>
      </c>
      <c r="W25">
        <v>-2.3956200000000002E-3</v>
      </c>
      <c r="X25">
        <v>0</v>
      </c>
      <c r="Y25">
        <v>-0.99726711000000001</v>
      </c>
      <c r="Z25">
        <v>-3.9833400000000001E-3</v>
      </c>
      <c r="AA25">
        <v>0.99727505999999999</v>
      </c>
    </row>
    <row r="26" spans="1:27" x14ac:dyDescent="0.25">
      <c r="A26">
        <v>1</v>
      </c>
      <c r="B26">
        <v>7.4999999999999997E-2</v>
      </c>
      <c r="C26">
        <v>25</v>
      </c>
      <c r="D26">
        <v>-0.99570000000000003</v>
      </c>
      <c r="E26">
        <v>-6.4000000000000003E-3</v>
      </c>
      <c r="F26">
        <v>9.5584499999999996E-3</v>
      </c>
      <c r="G26">
        <v>0.99571133000000001</v>
      </c>
      <c r="H26">
        <v>1</v>
      </c>
      <c r="I26">
        <v>0</v>
      </c>
      <c r="J26">
        <v>3.1480000000000001</v>
      </c>
      <c r="K26" s="3">
        <v>5.2943356100000001</v>
      </c>
      <c r="L26" s="3">
        <v>-1.0222520000000001E-2</v>
      </c>
      <c r="M26">
        <v>2E-3</v>
      </c>
      <c r="N26">
        <v>-3.0999999999999999E-3</v>
      </c>
      <c r="O26">
        <v>1.135955E-2</v>
      </c>
      <c r="P26">
        <v>-1.8768000000000001E-3</v>
      </c>
      <c r="Q26">
        <v>1.8768000000000001E-3</v>
      </c>
      <c r="R26">
        <v>-4.0669000000000002E-4</v>
      </c>
      <c r="S26">
        <v>-1.95</v>
      </c>
      <c r="T26">
        <v>-0.05</v>
      </c>
      <c r="U26">
        <v>1.9506409199999999</v>
      </c>
      <c r="V26">
        <v>1.9804800000000002E-3</v>
      </c>
      <c r="W26">
        <v>-3.0790100000000001E-3</v>
      </c>
      <c r="X26">
        <v>0</v>
      </c>
      <c r="Y26">
        <v>-0.99569090000000005</v>
      </c>
      <c r="Z26">
        <v>-6.3789600000000004E-3</v>
      </c>
      <c r="AA26">
        <v>0.99571133000000001</v>
      </c>
    </row>
    <row r="27" spans="1:27" x14ac:dyDescent="0.25">
      <c r="A27">
        <v>1</v>
      </c>
      <c r="B27">
        <v>7.8E-2</v>
      </c>
      <c r="C27">
        <v>26</v>
      </c>
      <c r="D27">
        <v>-0.99370000000000003</v>
      </c>
      <c r="E27">
        <v>-9.4999999999999998E-3</v>
      </c>
      <c r="F27">
        <v>1.17324E-2</v>
      </c>
      <c r="G27">
        <v>0.99375543</v>
      </c>
      <c r="H27">
        <v>1</v>
      </c>
      <c r="I27">
        <v>0</v>
      </c>
      <c r="J27">
        <v>3.1511</v>
      </c>
      <c r="K27" s="3">
        <v>5.2839830699999997</v>
      </c>
      <c r="L27" s="3">
        <v>-1.035254E-2</v>
      </c>
      <c r="M27">
        <v>2.3999999999999998E-3</v>
      </c>
      <c r="N27">
        <v>-3.8E-3</v>
      </c>
      <c r="O27">
        <v>1.585315E-2</v>
      </c>
      <c r="P27">
        <v>-2.30365E-3</v>
      </c>
      <c r="Q27">
        <v>2.30365E-3</v>
      </c>
      <c r="R27">
        <v>-4.2684999999999999E-4</v>
      </c>
      <c r="S27">
        <v>-1.95</v>
      </c>
      <c r="T27">
        <v>-0.05</v>
      </c>
      <c r="U27">
        <v>1.9506409199999999</v>
      </c>
      <c r="V27">
        <v>2.3911700000000002E-3</v>
      </c>
      <c r="W27">
        <v>-3.8045700000000002E-3</v>
      </c>
      <c r="X27">
        <v>0</v>
      </c>
      <c r="Y27">
        <v>-0.99371041999999998</v>
      </c>
      <c r="Z27">
        <v>-9.4579699999999996E-3</v>
      </c>
      <c r="AA27">
        <v>0.99375543</v>
      </c>
    </row>
    <row r="28" spans="1:27" x14ac:dyDescent="0.25">
      <c r="A28">
        <v>1</v>
      </c>
      <c r="B28">
        <v>8.1000000000000003E-2</v>
      </c>
      <c r="C28">
        <v>27</v>
      </c>
      <c r="D28">
        <v>-0.99129999999999996</v>
      </c>
      <c r="E28">
        <v>-1.3299999999999999E-2</v>
      </c>
      <c r="F28">
        <v>1.3982420000000001E-2</v>
      </c>
      <c r="G28">
        <v>0.99140795999999998</v>
      </c>
      <c r="H28">
        <v>1</v>
      </c>
      <c r="I28">
        <v>0</v>
      </c>
      <c r="J28">
        <v>3.1549999999999998</v>
      </c>
      <c r="K28" s="3">
        <v>5.2735011299999996</v>
      </c>
      <c r="L28" s="3">
        <v>-1.048194E-2</v>
      </c>
      <c r="M28">
        <v>2.8E-3</v>
      </c>
      <c r="N28">
        <v>-4.5999999999999999E-3</v>
      </c>
      <c r="O28">
        <v>2.1208520000000002E-2</v>
      </c>
      <c r="P28">
        <v>-2.74544E-3</v>
      </c>
      <c r="Q28">
        <v>2.74544E-3</v>
      </c>
      <c r="R28">
        <v>-4.4179000000000001E-4</v>
      </c>
      <c r="S28">
        <v>-1.95</v>
      </c>
      <c r="T28">
        <v>-0.05</v>
      </c>
      <c r="U28">
        <v>1.9506409199999999</v>
      </c>
      <c r="V28">
        <v>2.8014699999999999E-3</v>
      </c>
      <c r="W28">
        <v>-4.5641800000000001E-3</v>
      </c>
      <c r="X28">
        <v>0</v>
      </c>
      <c r="Y28">
        <v>-0.99131924999999999</v>
      </c>
      <c r="Z28">
        <v>-1.326254E-2</v>
      </c>
      <c r="AA28">
        <v>0.99140795999999998</v>
      </c>
    </row>
    <row r="29" spans="1:27" x14ac:dyDescent="0.25">
      <c r="A29">
        <v>1</v>
      </c>
      <c r="B29">
        <v>8.4000000000000005E-2</v>
      </c>
      <c r="C29">
        <v>28</v>
      </c>
      <c r="D29">
        <v>-0.98850000000000005</v>
      </c>
      <c r="E29">
        <v>-1.78E-2</v>
      </c>
      <c r="F29">
        <v>1.6284239999999998E-2</v>
      </c>
      <c r="G29">
        <v>0.98867850000000002</v>
      </c>
      <c r="H29">
        <v>1</v>
      </c>
      <c r="I29">
        <v>0</v>
      </c>
      <c r="J29">
        <v>3.1596000000000002</v>
      </c>
      <c r="K29" s="3">
        <v>5.2628907900000002</v>
      </c>
      <c r="L29" s="3">
        <v>-1.0610339999999999E-2</v>
      </c>
      <c r="M29">
        <v>3.2000000000000002E-3</v>
      </c>
      <c r="N29">
        <v>-5.4000000000000003E-3</v>
      </c>
      <c r="O29">
        <v>2.7445500000000001E-2</v>
      </c>
      <c r="P29">
        <v>-3.1974E-3</v>
      </c>
      <c r="Q29">
        <v>3.1974E-3</v>
      </c>
      <c r="R29">
        <v>-4.5196E-4</v>
      </c>
      <c r="S29">
        <v>-1.95</v>
      </c>
      <c r="T29">
        <v>-0.05</v>
      </c>
      <c r="U29">
        <v>1.9506409199999999</v>
      </c>
      <c r="V29">
        <v>3.2054000000000002E-3</v>
      </c>
      <c r="W29">
        <v>-5.3502699999999999E-3</v>
      </c>
      <c r="X29">
        <v>0</v>
      </c>
      <c r="Y29">
        <v>-0.98851776999999996</v>
      </c>
      <c r="Z29">
        <v>-1.7826720000000001E-2</v>
      </c>
      <c r="AA29">
        <v>0.98867850000000002</v>
      </c>
    </row>
    <row r="30" spans="1:27" x14ac:dyDescent="0.25">
      <c r="A30">
        <v>1</v>
      </c>
      <c r="B30">
        <v>8.6999999999999994E-2</v>
      </c>
      <c r="C30">
        <v>29</v>
      </c>
      <c r="D30">
        <v>-0.98529999999999995</v>
      </c>
      <c r="E30">
        <v>-2.3199999999999998E-2</v>
      </c>
      <c r="F30">
        <v>1.8615280000000001E-2</v>
      </c>
      <c r="G30">
        <v>0.98558493000000003</v>
      </c>
      <c r="H30">
        <v>1</v>
      </c>
      <c r="I30">
        <v>0</v>
      </c>
      <c r="J30">
        <v>3.1650999999999998</v>
      </c>
      <c r="K30" s="3">
        <v>5.2521534499999998</v>
      </c>
      <c r="L30" s="3">
        <v>-1.073734E-2</v>
      </c>
      <c r="M30">
        <v>3.5999999999999999E-3</v>
      </c>
      <c r="N30">
        <v>-6.1999999999999998E-3</v>
      </c>
      <c r="O30">
        <v>3.4575290000000002E-2</v>
      </c>
      <c r="P30">
        <v>-3.6551000000000001E-3</v>
      </c>
      <c r="Q30">
        <v>3.6551000000000001E-3</v>
      </c>
      <c r="R30">
        <v>-4.5770000000000001E-4</v>
      </c>
      <c r="S30">
        <v>-1.95</v>
      </c>
      <c r="T30">
        <v>-0.05</v>
      </c>
      <c r="U30">
        <v>1.9506409199999999</v>
      </c>
      <c r="V30">
        <v>3.5975899999999999E-3</v>
      </c>
      <c r="W30">
        <v>-6.1555899999999998E-3</v>
      </c>
      <c r="X30">
        <v>0</v>
      </c>
      <c r="Y30">
        <v>-0.98531237999999999</v>
      </c>
      <c r="Z30">
        <v>-2.3176990000000001E-2</v>
      </c>
      <c r="AA30">
        <v>0.98558493000000003</v>
      </c>
    </row>
    <row r="31" spans="1:27" x14ac:dyDescent="0.25">
      <c r="A31">
        <v>1</v>
      </c>
      <c r="B31">
        <v>0.09</v>
      </c>
      <c r="C31">
        <v>30</v>
      </c>
      <c r="D31">
        <v>-0.98170000000000002</v>
      </c>
      <c r="E31">
        <v>-2.93E-2</v>
      </c>
      <c r="F31">
        <v>2.0954239999999999E-2</v>
      </c>
      <c r="G31">
        <v>0.9821529</v>
      </c>
      <c r="H31">
        <v>1</v>
      </c>
      <c r="I31">
        <v>0</v>
      </c>
      <c r="J31">
        <v>3.1715</v>
      </c>
      <c r="K31" s="3">
        <v>5.2412909399999998</v>
      </c>
      <c r="L31" s="3">
        <v>-1.0862510000000001E-2</v>
      </c>
      <c r="M31">
        <v>4.0000000000000001E-3</v>
      </c>
      <c r="N31">
        <v>-7.0000000000000001E-3</v>
      </c>
      <c r="O31">
        <v>4.260092E-2</v>
      </c>
      <c r="P31">
        <v>-4.1143600000000001E-3</v>
      </c>
      <c r="Q31">
        <v>4.1143600000000001E-3</v>
      </c>
      <c r="R31">
        <v>-4.5925000000000002E-4</v>
      </c>
      <c r="S31">
        <v>-1.95</v>
      </c>
      <c r="T31">
        <v>-0.05</v>
      </c>
      <c r="U31">
        <v>1.9506409199999999</v>
      </c>
      <c r="V31">
        <v>3.9732600000000002E-3</v>
      </c>
      <c r="W31">
        <v>-6.9730900000000004E-3</v>
      </c>
      <c r="X31">
        <v>0</v>
      </c>
      <c r="Y31">
        <v>-0.98171478999999995</v>
      </c>
      <c r="Z31">
        <v>-2.9332569999999999E-2</v>
      </c>
      <c r="AA31">
        <v>0.9821529</v>
      </c>
    </row>
    <row r="32" spans="1:27" x14ac:dyDescent="0.25">
      <c r="A32">
        <v>1</v>
      </c>
      <c r="B32">
        <v>9.2999999999999999E-2</v>
      </c>
      <c r="C32">
        <v>31</v>
      </c>
      <c r="D32">
        <v>-0.97770000000000001</v>
      </c>
      <c r="E32">
        <v>-3.6299999999999999E-2</v>
      </c>
      <c r="F32">
        <v>2.328086E-2</v>
      </c>
      <c r="G32">
        <v>0.97841535000000002</v>
      </c>
      <c r="H32">
        <v>1</v>
      </c>
      <c r="I32">
        <v>0</v>
      </c>
      <c r="J32">
        <v>3.1787000000000001</v>
      </c>
      <c r="K32" s="3">
        <v>5.2303055499999997</v>
      </c>
      <c r="L32" s="3">
        <v>-1.0985379999999999E-2</v>
      </c>
      <c r="M32">
        <v>4.3E-3</v>
      </c>
      <c r="N32">
        <v>-7.7999999999999996E-3</v>
      </c>
      <c r="O32">
        <v>5.151766E-2</v>
      </c>
      <c r="P32">
        <v>-4.5711900000000001E-3</v>
      </c>
      <c r="Q32">
        <v>4.5711900000000001E-3</v>
      </c>
      <c r="R32">
        <v>-4.5682999999999997E-4</v>
      </c>
      <c r="S32">
        <v>-1.95</v>
      </c>
      <c r="T32">
        <v>-0.05</v>
      </c>
      <c r="U32">
        <v>1.9506409199999999</v>
      </c>
      <c r="V32">
        <v>4.3281099999999996E-3</v>
      </c>
      <c r="W32">
        <v>-7.7958799999999998E-3</v>
      </c>
      <c r="X32">
        <v>0</v>
      </c>
      <c r="Y32">
        <v>-0.97774152999999997</v>
      </c>
      <c r="Z32">
        <v>-3.6305659999999997E-2</v>
      </c>
      <c r="AA32">
        <v>0.97841535000000002</v>
      </c>
    </row>
    <row r="33" spans="1:27" x14ac:dyDescent="0.25">
      <c r="A33">
        <v>1</v>
      </c>
      <c r="B33">
        <v>9.6000000000000002E-2</v>
      </c>
      <c r="C33">
        <v>32</v>
      </c>
      <c r="D33">
        <v>-0.97340000000000004</v>
      </c>
      <c r="E33">
        <v>-4.41E-2</v>
      </c>
      <c r="F33">
        <v>2.5575770000000001E-2</v>
      </c>
      <c r="G33">
        <v>0.97441193999999998</v>
      </c>
      <c r="H33">
        <v>1</v>
      </c>
      <c r="I33">
        <v>0</v>
      </c>
      <c r="J33">
        <v>3.1869000000000001</v>
      </c>
      <c r="K33" s="3">
        <v>5.2192000600000004</v>
      </c>
      <c r="L33" s="3">
        <v>-1.1105490000000001E-2</v>
      </c>
      <c r="M33">
        <v>4.7000000000000002E-3</v>
      </c>
      <c r="N33">
        <v>-8.6E-3</v>
      </c>
      <c r="O33">
        <v>6.1313369999999999E-2</v>
      </c>
      <c r="P33">
        <v>-5.0217899999999999E-3</v>
      </c>
      <c r="Q33">
        <v>5.0217899999999999E-3</v>
      </c>
      <c r="R33">
        <v>-4.506E-4</v>
      </c>
      <c r="S33">
        <v>-1.95</v>
      </c>
      <c r="T33">
        <v>-0.05</v>
      </c>
      <c r="U33">
        <v>1.9506409199999999</v>
      </c>
      <c r="V33">
        <v>4.6583500000000003E-3</v>
      </c>
      <c r="W33">
        <v>-8.6171800000000003E-3</v>
      </c>
      <c r="X33">
        <v>0</v>
      </c>
      <c r="Y33">
        <v>-0.97341341999999997</v>
      </c>
      <c r="Z33">
        <v>-4.4101540000000002E-2</v>
      </c>
      <c r="AA33">
        <v>0.97441193999999998</v>
      </c>
    </row>
    <row r="34" spans="1:27" x14ac:dyDescent="0.25">
      <c r="A34">
        <v>1</v>
      </c>
      <c r="B34">
        <v>9.9000000000000005E-2</v>
      </c>
      <c r="C34">
        <v>33</v>
      </c>
      <c r="D34">
        <v>-0.96879999999999999</v>
      </c>
      <c r="E34">
        <v>-5.2699999999999997E-2</v>
      </c>
      <c r="F34">
        <v>2.7820439999999998E-2</v>
      </c>
      <c r="G34">
        <v>0.97018846000000003</v>
      </c>
      <c r="H34">
        <v>1</v>
      </c>
      <c r="I34">
        <v>0</v>
      </c>
      <c r="J34">
        <v>3.1960000000000002</v>
      </c>
      <c r="K34" s="3">
        <v>5.2079777500000004</v>
      </c>
      <c r="L34" s="3">
        <v>-1.1222319999999999E-2</v>
      </c>
      <c r="M34">
        <v>5.0000000000000001E-3</v>
      </c>
      <c r="N34">
        <v>-9.4000000000000004E-3</v>
      </c>
      <c r="O34">
        <v>7.1968809999999994E-2</v>
      </c>
      <c r="P34">
        <v>-5.4625300000000002E-3</v>
      </c>
      <c r="Q34">
        <v>5.4625300000000002E-3</v>
      </c>
      <c r="R34">
        <v>-4.4074000000000001E-4</v>
      </c>
      <c r="S34">
        <v>-1.95</v>
      </c>
      <c r="T34">
        <v>-0.05</v>
      </c>
      <c r="U34">
        <v>1.9506409199999999</v>
      </c>
      <c r="V34">
        <v>4.9606099999999998E-3</v>
      </c>
      <c r="W34">
        <v>-9.4303000000000008E-3</v>
      </c>
      <c r="X34">
        <v>0</v>
      </c>
      <c r="Y34">
        <v>-0.96875507000000005</v>
      </c>
      <c r="Z34">
        <v>-5.2718719999999997E-2</v>
      </c>
      <c r="AA34">
        <v>0.97018846000000003</v>
      </c>
    </row>
    <row r="35" spans="1:27" x14ac:dyDescent="0.25">
      <c r="A35">
        <v>1</v>
      </c>
      <c r="B35">
        <v>0.10199999999999999</v>
      </c>
      <c r="C35">
        <v>34</v>
      </c>
      <c r="D35">
        <v>-0.96379999999999999</v>
      </c>
      <c r="E35">
        <v>-6.2100000000000002E-2</v>
      </c>
      <c r="F35">
        <v>2.9997159999999998E-2</v>
      </c>
      <c r="G35">
        <v>0.96579618</v>
      </c>
      <c r="H35">
        <v>1</v>
      </c>
      <c r="I35">
        <v>0</v>
      </c>
      <c r="J35">
        <v>3.206</v>
      </c>
      <c r="K35" s="3">
        <v>5.1966423800000001</v>
      </c>
      <c r="L35" s="3">
        <v>-1.1335370000000001E-2</v>
      </c>
      <c r="M35">
        <v>5.1999999999999998E-3</v>
      </c>
      <c r="N35">
        <v>-1.0200000000000001E-2</v>
      </c>
      <c r="O35">
        <v>8.3457939999999994E-2</v>
      </c>
      <c r="P35">
        <v>-5.8899299999999998E-3</v>
      </c>
      <c r="Q35">
        <v>5.8899299999999998E-3</v>
      </c>
      <c r="R35">
        <v>-4.2739999999999998E-4</v>
      </c>
      <c r="S35">
        <v>-1.95</v>
      </c>
      <c r="T35">
        <v>-0.05</v>
      </c>
      <c r="U35">
        <v>1.9506409199999999</v>
      </c>
      <c r="V35">
        <v>5.2320300000000004E-3</v>
      </c>
      <c r="W35">
        <v>-1.022869E-2</v>
      </c>
      <c r="X35">
        <v>0</v>
      </c>
      <c r="Y35">
        <v>-0.96379446000000002</v>
      </c>
      <c r="Z35">
        <v>-6.2149019999999999E-2</v>
      </c>
      <c r="AA35">
        <v>0.96579618</v>
      </c>
    </row>
    <row r="36" spans="1:27" x14ac:dyDescent="0.25">
      <c r="A36">
        <v>1</v>
      </c>
      <c r="B36">
        <v>0.105</v>
      </c>
      <c r="C36">
        <v>35</v>
      </c>
      <c r="D36">
        <v>-0.95860000000000001</v>
      </c>
      <c r="E36">
        <v>-7.2400000000000006E-2</v>
      </c>
      <c r="F36">
        <v>3.2089050000000001E-2</v>
      </c>
      <c r="G36">
        <v>0.96129103999999999</v>
      </c>
      <c r="H36">
        <v>1</v>
      </c>
      <c r="I36">
        <v>0</v>
      </c>
      <c r="J36">
        <v>3.2170000000000001</v>
      </c>
      <c r="K36" s="3">
        <v>5.1851982699999999</v>
      </c>
      <c r="L36" s="3">
        <v>-1.144411E-2</v>
      </c>
      <c r="M36">
        <v>5.4999999999999997E-3</v>
      </c>
      <c r="N36">
        <v>-1.0999999999999999E-2</v>
      </c>
      <c r="O36">
        <v>9.574829E-2</v>
      </c>
      <c r="P36">
        <v>-6.3006700000000004E-3</v>
      </c>
      <c r="Q36">
        <v>6.3006700000000004E-3</v>
      </c>
      <c r="R36">
        <v>-4.1073999999999999E-4</v>
      </c>
      <c r="S36">
        <v>-1.95</v>
      </c>
      <c r="T36">
        <v>-0.05</v>
      </c>
      <c r="U36">
        <v>1.9506409199999999</v>
      </c>
      <c r="V36">
        <v>5.47016E-3</v>
      </c>
      <c r="W36">
        <v>-1.1005910000000001E-2</v>
      </c>
      <c r="X36">
        <v>0</v>
      </c>
      <c r="Y36">
        <v>-0.95856242999999997</v>
      </c>
      <c r="Z36">
        <v>-7.2377709999999998E-2</v>
      </c>
      <c r="AA36">
        <v>0.96129103999999999</v>
      </c>
    </row>
    <row r="37" spans="1:27" x14ac:dyDescent="0.25">
      <c r="A37">
        <v>1</v>
      </c>
      <c r="B37">
        <v>0.108</v>
      </c>
      <c r="C37">
        <v>36</v>
      </c>
      <c r="D37">
        <v>-0.95309999999999995</v>
      </c>
      <c r="E37">
        <v>-8.3400000000000002E-2</v>
      </c>
      <c r="F37">
        <v>3.4080109999999997E-2</v>
      </c>
      <c r="G37">
        <v>0.95673282999999998</v>
      </c>
      <c r="H37">
        <v>1</v>
      </c>
      <c r="I37">
        <v>0</v>
      </c>
      <c r="J37">
        <v>3.2288999999999999</v>
      </c>
      <c r="K37" s="3">
        <v>5.1736502599999996</v>
      </c>
      <c r="L37" s="3">
        <v>-1.1548009999999999E-2</v>
      </c>
      <c r="M37">
        <v>5.7000000000000002E-3</v>
      </c>
      <c r="N37">
        <v>-1.18E-2</v>
      </c>
      <c r="O37">
        <v>0.10880123</v>
      </c>
      <c r="P37">
        <v>-6.6916099999999997E-3</v>
      </c>
      <c r="Q37">
        <v>6.6916099999999997E-3</v>
      </c>
      <c r="R37">
        <v>-3.9093999999999999E-4</v>
      </c>
      <c r="S37">
        <v>-1.95</v>
      </c>
      <c r="T37">
        <v>-0.05</v>
      </c>
      <c r="U37">
        <v>1.9506409199999999</v>
      </c>
      <c r="V37">
        <v>5.6730499999999998E-3</v>
      </c>
      <c r="W37">
        <v>-1.1755669999999999E-2</v>
      </c>
      <c r="X37">
        <v>0</v>
      </c>
      <c r="Y37">
        <v>-0.95309226999999996</v>
      </c>
      <c r="Z37">
        <v>-8.3383620000000006E-2</v>
      </c>
      <c r="AA37">
        <v>0.95673282999999998</v>
      </c>
    </row>
    <row r="38" spans="1:27" x14ac:dyDescent="0.25">
      <c r="A38">
        <v>1</v>
      </c>
      <c r="B38">
        <v>0.111</v>
      </c>
      <c r="C38">
        <v>37</v>
      </c>
      <c r="D38">
        <v>-0.94740000000000002</v>
      </c>
      <c r="E38">
        <v>-9.5100000000000004E-2</v>
      </c>
      <c r="F38">
        <v>3.5955250000000001E-2</v>
      </c>
      <c r="G38">
        <v>0.95218415000000001</v>
      </c>
      <c r="H38">
        <v>1</v>
      </c>
      <c r="I38">
        <v>0</v>
      </c>
      <c r="J38">
        <v>3.2416999999999998</v>
      </c>
      <c r="K38" s="3">
        <v>5.1620036999999996</v>
      </c>
      <c r="L38" s="3">
        <v>-1.164656E-2</v>
      </c>
      <c r="M38">
        <v>5.7999999999999996E-3</v>
      </c>
      <c r="N38">
        <v>-1.2500000000000001E-2</v>
      </c>
      <c r="O38">
        <v>0.12257236000000001</v>
      </c>
      <c r="P38">
        <v>-7.0597999999999998E-3</v>
      </c>
      <c r="Q38">
        <v>7.0597999999999998E-3</v>
      </c>
      <c r="R38">
        <v>-3.6818000000000002E-4</v>
      </c>
      <c r="S38">
        <v>-1.95</v>
      </c>
      <c r="T38">
        <v>-0.05</v>
      </c>
      <c r="U38">
        <v>1.9506409199999999</v>
      </c>
      <c r="V38">
        <v>5.8391800000000002E-3</v>
      </c>
      <c r="W38">
        <v>-1.2471889999999999E-2</v>
      </c>
      <c r="X38">
        <v>0</v>
      </c>
      <c r="Y38">
        <v>-0.94741922000000001</v>
      </c>
      <c r="Z38">
        <v>-9.5139280000000007E-2</v>
      </c>
      <c r="AA38">
        <v>0.95218415000000001</v>
      </c>
    </row>
    <row r="39" spans="1:27" x14ac:dyDescent="0.25">
      <c r="A39">
        <v>1</v>
      </c>
      <c r="B39">
        <v>0.114</v>
      </c>
      <c r="C39">
        <v>38</v>
      </c>
      <c r="D39">
        <v>-0.94159999999999999</v>
      </c>
      <c r="E39">
        <v>-0.1076</v>
      </c>
      <c r="F39">
        <v>3.7700360000000002E-2</v>
      </c>
      <c r="G39">
        <v>0.94770940999999997</v>
      </c>
      <c r="H39">
        <v>1</v>
      </c>
      <c r="I39">
        <v>0</v>
      </c>
      <c r="J39">
        <v>3.2553999999999998</v>
      </c>
      <c r="K39" s="3">
        <v>5.1502644799999997</v>
      </c>
      <c r="L39" s="3">
        <v>-1.173922E-2</v>
      </c>
      <c r="M39">
        <v>6.0000000000000001E-3</v>
      </c>
      <c r="N39">
        <v>-1.3100000000000001E-2</v>
      </c>
      <c r="O39">
        <v>0.13701188</v>
      </c>
      <c r="P39">
        <v>-7.4024499999999997E-3</v>
      </c>
      <c r="Q39">
        <v>7.4024499999999997E-3</v>
      </c>
      <c r="R39">
        <v>-3.4265000000000001E-4</v>
      </c>
      <c r="S39">
        <v>-1.95</v>
      </c>
      <c r="T39">
        <v>-0.05</v>
      </c>
      <c r="U39">
        <v>1.9506409199999999</v>
      </c>
      <c r="V39">
        <v>5.9675199999999996E-3</v>
      </c>
      <c r="W39">
        <v>-1.3148699999999999E-2</v>
      </c>
      <c r="X39">
        <v>0</v>
      </c>
      <c r="Y39">
        <v>-0.94158003999999995</v>
      </c>
      <c r="Z39">
        <v>-0.10761117000000001</v>
      </c>
      <c r="AA39">
        <v>0.94770940999999997</v>
      </c>
    </row>
    <row r="40" spans="1:27" x14ac:dyDescent="0.25">
      <c r="A40">
        <v>1</v>
      </c>
      <c r="B40">
        <v>0.11700000000000001</v>
      </c>
      <c r="C40">
        <v>39</v>
      </c>
      <c r="D40">
        <v>-0.93559999999999999</v>
      </c>
      <c r="E40">
        <v>-0.1208</v>
      </c>
      <c r="F40">
        <v>3.930239E-2</v>
      </c>
      <c r="G40">
        <v>0.94337358000000004</v>
      </c>
      <c r="H40">
        <v>1</v>
      </c>
      <c r="I40">
        <v>0</v>
      </c>
      <c r="J40">
        <v>3.27</v>
      </c>
      <c r="K40" s="3">
        <v>5.13843899</v>
      </c>
      <c r="L40" s="3">
        <v>-1.1825499999999999E-2</v>
      </c>
      <c r="M40">
        <v>6.1000000000000004E-3</v>
      </c>
      <c r="N40">
        <v>-1.38E-2</v>
      </c>
      <c r="O40">
        <v>0.15206499000000001</v>
      </c>
      <c r="P40">
        <v>-7.7170099999999998E-3</v>
      </c>
      <c r="Q40">
        <v>7.7170099999999998E-3</v>
      </c>
      <c r="R40">
        <v>-3.1456000000000002E-4</v>
      </c>
      <c r="S40">
        <v>-1.95</v>
      </c>
      <c r="T40">
        <v>-0.05</v>
      </c>
      <c r="U40">
        <v>1.9506409199999999</v>
      </c>
      <c r="V40">
        <v>6.0574799999999996E-3</v>
      </c>
      <c r="W40">
        <v>-1.3780529999999999E-2</v>
      </c>
      <c r="X40">
        <v>0</v>
      </c>
      <c r="Y40">
        <v>-0.93561251000000001</v>
      </c>
      <c r="Z40">
        <v>-0.12075987000000001</v>
      </c>
      <c r="AA40">
        <v>0.94337358000000004</v>
      </c>
    </row>
    <row r="41" spans="1:27" x14ac:dyDescent="0.25">
      <c r="A41">
        <v>1</v>
      </c>
      <c r="B41">
        <v>0.12</v>
      </c>
      <c r="C41">
        <v>40</v>
      </c>
      <c r="D41">
        <v>-0.92959999999999998</v>
      </c>
      <c r="E41">
        <v>-0.13450000000000001</v>
      </c>
      <c r="F41">
        <v>4.074941E-2</v>
      </c>
      <c r="G41">
        <v>0.93924101000000004</v>
      </c>
      <c r="H41">
        <v>1</v>
      </c>
      <c r="I41">
        <v>0</v>
      </c>
      <c r="J41">
        <v>3.2852999999999999</v>
      </c>
      <c r="K41" s="3">
        <v>5.1265340999999998</v>
      </c>
      <c r="L41" s="3">
        <v>-1.190489E-2</v>
      </c>
      <c r="M41">
        <v>6.1000000000000004E-3</v>
      </c>
      <c r="N41">
        <v>-1.44E-2</v>
      </c>
      <c r="O41">
        <v>0.16767230999999999</v>
      </c>
      <c r="P41">
        <v>-8.0011300000000004E-3</v>
      </c>
      <c r="Q41">
        <v>8.0011300000000004E-3</v>
      </c>
      <c r="R41">
        <v>-2.8412000000000001E-4</v>
      </c>
      <c r="S41">
        <v>-1.95</v>
      </c>
      <c r="T41">
        <v>-0.05</v>
      </c>
      <c r="U41">
        <v>1.9506409199999999</v>
      </c>
      <c r="V41">
        <v>6.1089300000000003E-3</v>
      </c>
      <c r="W41">
        <v>-1.4362089999999999E-2</v>
      </c>
      <c r="X41">
        <v>0</v>
      </c>
      <c r="Y41">
        <v>-0.92955502999999995</v>
      </c>
      <c r="Z41">
        <v>-0.1345404</v>
      </c>
      <c r="AA41">
        <v>0.93924101000000004</v>
      </c>
    </row>
    <row r="42" spans="1:27" x14ac:dyDescent="0.25">
      <c r="A42">
        <v>1</v>
      </c>
      <c r="B42">
        <v>0.123</v>
      </c>
      <c r="C42">
        <v>41</v>
      </c>
      <c r="D42">
        <v>-0.9234</v>
      </c>
      <c r="E42">
        <v>-0.1489</v>
      </c>
      <c r="F42">
        <v>4.2030650000000003E-2</v>
      </c>
      <c r="G42">
        <v>0.93537406999999995</v>
      </c>
      <c r="H42">
        <v>1</v>
      </c>
      <c r="I42">
        <v>0</v>
      </c>
      <c r="J42">
        <v>3.3014999999999999</v>
      </c>
      <c r="K42" s="3">
        <v>5.1145571500000004</v>
      </c>
      <c r="L42" s="3">
        <v>-1.197695E-2</v>
      </c>
      <c r="M42">
        <v>6.1000000000000004E-3</v>
      </c>
      <c r="N42">
        <v>-1.49E-2</v>
      </c>
      <c r="O42">
        <v>0.18377035999999999</v>
      </c>
      <c r="P42">
        <v>-8.2527E-3</v>
      </c>
      <c r="Q42">
        <v>8.2527E-3</v>
      </c>
      <c r="R42">
        <v>-2.5157000000000001E-4</v>
      </c>
      <c r="S42">
        <v>-1.95</v>
      </c>
      <c r="T42">
        <v>-0.05</v>
      </c>
      <c r="U42">
        <v>1.9506409199999999</v>
      </c>
      <c r="V42">
        <v>6.1221799999999996E-3</v>
      </c>
      <c r="W42">
        <v>-1.4888459999999999E-2</v>
      </c>
      <c r="X42">
        <v>0</v>
      </c>
      <c r="Y42">
        <v>-0.92344610000000005</v>
      </c>
      <c r="Z42">
        <v>-0.14890249</v>
      </c>
      <c r="AA42">
        <v>0.93537406999999995</v>
      </c>
    </row>
    <row r="43" spans="1:27" x14ac:dyDescent="0.25">
      <c r="A43">
        <v>1</v>
      </c>
      <c r="B43">
        <v>0.126</v>
      </c>
      <c r="C43">
        <v>42</v>
      </c>
      <c r="D43">
        <v>-0.9173</v>
      </c>
      <c r="E43">
        <v>-0.1638</v>
      </c>
      <c r="F43">
        <v>4.3136620000000001E-2</v>
      </c>
      <c r="G43">
        <v>0.93183187000000001</v>
      </c>
      <c r="H43">
        <v>1</v>
      </c>
      <c r="I43">
        <v>0</v>
      </c>
      <c r="J43">
        <v>3.3182999999999998</v>
      </c>
      <c r="K43" s="3">
        <v>5.1025159200000001</v>
      </c>
      <c r="L43" s="3">
        <v>-1.204123E-2</v>
      </c>
      <c r="M43">
        <v>6.1000000000000004E-3</v>
      </c>
      <c r="N43">
        <v>-1.54E-2</v>
      </c>
      <c r="O43">
        <v>0.20029200999999999</v>
      </c>
      <c r="P43">
        <v>-8.4698599999999992E-3</v>
      </c>
      <c r="Q43">
        <v>8.4698599999999992E-3</v>
      </c>
      <c r="R43">
        <v>-2.1715999999999999E-4</v>
      </c>
      <c r="S43">
        <v>-1.95</v>
      </c>
      <c r="T43">
        <v>-0.05</v>
      </c>
      <c r="U43">
        <v>1.9506409199999999</v>
      </c>
      <c r="V43">
        <v>6.0979700000000003E-3</v>
      </c>
      <c r="W43">
        <v>-1.535512E-2</v>
      </c>
      <c r="X43">
        <v>0</v>
      </c>
      <c r="Y43">
        <v>-0.91732391000000002</v>
      </c>
      <c r="Z43">
        <v>-0.16379094999999999</v>
      </c>
      <c r="AA43">
        <v>0.93183187000000001</v>
      </c>
    </row>
    <row r="44" spans="1:27" x14ac:dyDescent="0.25">
      <c r="A44">
        <v>1</v>
      </c>
      <c r="B44">
        <v>0.129</v>
      </c>
      <c r="C44">
        <v>43</v>
      </c>
      <c r="D44">
        <v>-0.91120000000000001</v>
      </c>
      <c r="E44">
        <v>-0.17910000000000001</v>
      </c>
      <c r="F44">
        <v>4.4059139999999997E-2</v>
      </c>
      <c r="G44">
        <v>0.92866895000000005</v>
      </c>
      <c r="H44">
        <v>1</v>
      </c>
      <c r="I44">
        <v>0</v>
      </c>
      <c r="J44">
        <v>3.3357000000000001</v>
      </c>
      <c r="K44" s="3">
        <v>5.0904185699999998</v>
      </c>
      <c r="L44" s="3">
        <v>-1.209735E-2</v>
      </c>
      <c r="M44">
        <v>6.0000000000000001E-3</v>
      </c>
      <c r="N44">
        <v>-1.5800000000000002E-2</v>
      </c>
      <c r="O44">
        <v>0.21716699</v>
      </c>
      <c r="P44">
        <v>-8.6509900000000008E-3</v>
      </c>
      <c r="Q44">
        <v>8.6509900000000008E-3</v>
      </c>
      <c r="R44">
        <v>-1.8113999999999999E-4</v>
      </c>
      <c r="S44">
        <v>-1.95</v>
      </c>
      <c r="T44">
        <v>-0.05</v>
      </c>
      <c r="U44">
        <v>1.9506409199999999</v>
      </c>
      <c r="V44">
        <v>6.0374499999999998E-3</v>
      </c>
      <c r="W44">
        <v>-1.5757980000000001E-2</v>
      </c>
      <c r="X44">
        <v>0</v>
      </c>
      <c r="Y44">
        <v>-0.91122594000000001</v>
      </c>
      <c r="Z44">
        <v>-0.17914606</v>
      </c>
      <c r="AA44">
        <v>0.92866895000000005</v>
      </c>
    </row>
    <row r="45" spans="1:27" x14ac:dyDescent="0.25">
      <c r="A45">
        <v>1</v>
      </c>
      <c r="B45">
        <v>0.13200000000000001</v>
      </c>
      <c r="C45">
        <v>44</v>
      </c>
      <c r="D45">
        <v>-0.9052</v>
      </c>
      <c r="E45">
        <v>-0.19489999999999999</v>
      </c>
      <c r="F45">
        <v>4.4791379999999999E-2</v>
      </c>
      <c r="G45">
        <v>0.92593400000000003</v>
      </c>
      <c r="H45">
        <v>1</v>
      </c>
      <c r="I45">
        <v>0</v>
      </c>
      <c r="J45">
        <v>3.3536999999999999</v>
      </c>
      <c r="K45" s="3">
        <v>5.07827362</v>
      </c>
      <c r="L45" s="3">
        <v>-1.214494E-2</v>
      </c>
      <c r="M45">
        <v>5.8999999999999999E-3</v>
      </c>
      <c r="N45">
        <v>-1.61E-2</v>
      </c>
      <c r="O45">
        <v>0.23432242</v>
      </c>
      <c r="P45">
        <v>-8.7947700000000004E-3</v>
      </c>
      <c r="Q45">
        <v>8.7947700000000004E-3</v>
      </c>
      <c r="R45">
        <v>-1.4376999999999999E-4</v>
      </c>
      <c r="S45">
        <v>-1.95</v>
      </c>
      <c r="T45">
        <v>-0.05</v>
      </c>
      <c r="U45">
        <v>1.9506409199999999</v>
      </c>
      <c r="V45">
        <v>5.9421600000000002E-3</v>
      </c>
      <c r="W45">
        <v>-1.609346E-2</v>
      </c>
      <c r="X45">
        <v>0</v>
      </c>
      <c r="Y45">
        <v>-0.90518847999999996</v>
      </c>
      <c r="Z45">
        <v>-0.19490405</v>
      </c>
      <c r="AA45">
        <v>0.92593400000000003</v>
      </c>
    </row>
    <row r="46" spans="1:27" x14ac:dyDescent="0.25">
      <c r="A46">
        <v>1</v>
      </c>
      <c r="B46">
        <v>0.13500000000000001</v>
      </c>
      <c r="C46">
        <v>45</v>
      </c>
      <c r="D46">
        <v>-0.8992</v>
      </c>
      <c r="E46">
        <v>-0.21099999999999999</v>
      </c>
      <c r="F46">
        <v>4.5327920000000001E-2</v>
      </c>
      <c r="G46">
        <v>0.92366872</v>
      </c>
      <c r="H46">
        <v>1</v>
      </c>
      <c r="I46">
        <v>0</v>
      </c>
      <c r="J46">
        <v>3.3721000000000001</v>
      </c>
      <c r="K46" s="3">
        <v>5.0660899099999996</v>
      </c>
      <c r="L46" s="3">
        <v>-1.218372E-2</v>
      </c>
      <c r="M46">
        <v>5.7999999999999996E-3</v>
      </c>
      <c r="N46">
        <v>-1.6400000000000001E-2</v>
      </c>
      <c r="O46">
        <v>0.25168334999999997</v>
      </c>
      <c r="P46">
        <v>-8.9001199999999992E-3</v>
      </c>
      <c r="Q46">
        <v>8.9001199999999992E-3</v>
      </c>
      <c r="R46">
        <v>-1.0535E-4</v>
      </c>
      <c r="S46">
        <v>-1.95</v>
      </c>
      <c r="T46">
        <v>-0.05</v>
      </c>
      <c r="U46">
        <v>1.9506409199999999</v>
      </c>
      <c r="V46">
        <v>5.8139899999999998E-3</v>
      </c>
      <c r="W46">
        <v>-1.635847E-2</v>
      </c>
      <c r="X46">
        <v>0</v>
      </c>
      <c r="Y46">
        <v>-0.89924632000000004</v>
      </c>
      <c r="Z46">
        <v>-0.21099751</v>
      </c>
      <c r="AA46">
        <v>0.92366872</v>
      </c>
    </row>
    <row r="47" spans="1:27" x14ac:dyDescent="0.25">
      <c r="A47">
        <v>1</v>
      </c>
      <c r="B47">
        <v>0.13800000000000001</v>
      </c>
      <c r="C47">
        <v>46</v>
      </c>
      <c r="D47">
        <v>-0.89339999999999997</v>
      </c>
      <c r="E47">
        <v>-0.22739999999999999</v>
      </c>
      <c r="F47">
        <v>4.5664799999999998E-2</v>
      </c>
      <c r="G47">
        <v>0.92190676000000005</v>
      </c>
      <c r="H47">
        <v>1</v>
      </c>
      <c r="I47">
        <v>0</v>
      </c>
      <c r="J47">
        <v>3.3908</v>
      </c>
      <c r="K47" s="3">
        <v>5.0538764900000004</v>
      </c>
      <c r="L47" s="3">
        <v>-1.2213419999999999E-2</v>
      </c>
      <c r="M47">
        <v>5.7000000000000002E-3</v>
      </c>
      <c r="N47">
        <v>-1.66E-2</v>
      </c>
      <c r="O47">
        <v>0.26917331</v>
      </c>
      <c r="P47">
        <v>-8.9662600000000002E-3</v>
      </c>
      <c r="Q47">
        <v>8.9662600000000002E-3</v>
      </c>
      <c r="R47">
        <v>-6.6149999999999995E-5</v>
      </c>
      <c r="S47">
        <v>-1.95</v>
      </c>
      <c r="T47">
        <v>-0.05</v>
      </c>
      <c r="U47">
        <v>1.9506409199999999</v>
      </c>
      <c r="V47">
        <v>5.6551500000000003E-3</v>
      </c>
      <c r="W47">
        <v>-1.6550470000000001E-2</v>
      </c>
      <c r="X47">
        <v>0</v>
      </c>
      <c r="Y47">
        <v>-0.89343234000000005</v>
      </c>
      <c r="Z47">
        <v>-0.22735598000000001</v>
      </c>
      <c r="AA47">
        <v>0.92190676000000005</v>
      </c>
    </row>
    <row r="48" spans="1:27" x14ac:dyDescent="0.25">
      <c r="A48">
        <v>1</v>
      </c>
      <c r="B48">
        <v>0.14099999999999999</v>
      </c>
      <c r="C48">
        <v>47</v>
      </c>
      <c r="D48">
        <v>-0.88780000000000003</v>
      </c>
      <c r="E48">
        <v>-0.24390000000000001</v>
      </c>
      <c r="F48">
        <v>4.579954E-2</v>
      </c>
      <c r="G48">
        <v>0.92067295999999998</v>
      </c>
      <c r="H48">
        <v>1</v>
      </c>
      <c r="I48">
        <v>0</v>
      </c>
      <c r="J48">
        <v>3.4097</v>
      </c>
      <c r="K48" s="3">
        <v>5.0416426400000001</v>
      </c>
      <c r="L48" s="3">
        <v>-1.2233849999999999E-2</v>
      </c>
      <c r="M48">
        <v>5.4999999999999997E-3</v>
      </c>
      <c r="N48">
        <v>-1.67E-2</v>
      </c>
      <c r="O48">
        <v>0.28671488000000001</v>
      </c>
      <c r="P48">
        <v>-8.9927199999999992E-3</v>
      </c>
      <c r="Q48">
        <v>8.9927199999999992E-3</v>
      </c>
      <c r="R48">
        <v>-2.6449999999999999E-5</v>
      </c>
      <c r="S48">
        <v>-1.95</v>
      </c>
      <c r="T48">
        <v>-0.05</v>
      </c>
      <c r="U48">
        <v>1.9506409199999999</v>
      </c>
      <c r="V48">
        <v>5.4681599999999997E-3</v>
      </c>
      <c r="W48">
        <v>-1.6667499999999998E-2</v>
      </c>
      <c r="X48">
        <v>0</v>
      </c>
      <c r="Y48">
        <v>-0.88777718999999999</v>
      </c>
      <c r="Z48">
        <v>-0.24390645</v>
      </c>
      <c r="AA48">
        <v>0.92067295999999998</v>
      </c>
    </row>
    <row r="49" spans="1:27" x14ac:dyDescent="0.25">
      <c r="A49">
        <v>1</v>
      </c>
      <c r="B49">
        <v>0.14399999999999999</v>
      </c>
      <c r="C49">
        <v>48</v>
      </c>
      <c r="D49">
        <v>-0.88229999999999997</v>
      </c>
      <c r="E49">
        <v>-0.2606</v>
      </c>
      <c r="F49">
        <v>4.5731130000000002E-2</v>
      </c>
      <c r="G49">
        <v>0.91998261000000003</v>
      </c>
      <c r="H49">
        <v>1</v>
      </c>
      <c r="I49">
        <v>0</v>
      </c>
      <c r="J49">
        <v>3.4287999999999998</v>
      </c>
      <c r="K49" s="3">
        <v>5.0293977700000001</v>
      </c>
      <c r="L49" s="3">
        <v>-1.224487E-2</v>
      </c>
      <c r="M49">
        <v>5.3E-3</v>
      </c>
      <c r="N49">
        <v>-1.67E-2</v>
      </c>
      <c r="O49">
        <v>0.30423023999999999</v>
      </c>
      <c r="P49">
        <v>-8.9792899999999991E-3</v>
      </c>
      <c r="Q49">
        <v>8.9792899999999991E-3</v>
      </c>
      <c r="R49">
        <v>1.343E-5</v>
      </c>
      <c r="S49">
        <v>-1.95</v>
      </c>
      <c r="T49">
        <v>-0.05</v>
      </c>
      <c r="U49">
        <v>1.9506409199999999</v>
      </c>
      <c r="V49">
        <v>5.2557699999999999E-3</v>
      </c>
      <c r="W49">
        <v>-1.6708219999999999E-2</v>
      </c>
      <c r="X49">
        <v>0</v>
      </c>
      <c r="Y49">
        <v>-0.88230903000000005</v>
      </c>
      <c r="Z49">
        <v>-0.26057395</v>
      </c>
      <c r="AA49">
        <v>0.91998261000000003</v>
      </c>
    </row>
    <row r="50" spans="1:27" x14ac:dyDescent="0.25">
      <c r="A50">
        <v>1</v>
      </c>
      <c r="B50">
        <v>0.14699999999999999</v>
      </c>
      <c r="C50">
        <v>49</v>
      </c>
      <c r="D50">
        <v>-0.87709999999999999</v>
      </c>
      <c r="E50">
        <v>-0.27729999999999999</v>
      </c>
      <c r="F50">
        <v>4.546008E-2</v>
      </c>
      <c r="G50">
        <v>0.91984118999999998</v>
      </c>
      <c r="H50">
        <v>1</v>
      </c>
      <c r="I50">
        <v>0</v>
      </c>
      <c r="J50">
        <v>3.4478</v>
      </c>
      <c r="K50" s="3">
        <v>5.0171513499999998</v>
      </c>
      <c r="L50" s="3">
        <v>-1.2246419999999999E-2</v>
      </c>
      <c r="M50">
        <v>5.0000000000000001E-3</v>
      </c>
      <c r="N50">
        <v>-1.67E-2</v>
      </c>
      <c r="O50">
        <v>0.32164178999999998</v>
      </c>
      <c r="P50">
        <v>-8.9260699999999995E-3</v>
      </c>
      <c r="Q50">
        <v>8.9260699999999995E-3</v>
      </c>
      <c r="R50">
        <v>5.3220000000000002E-5</v>
      </c>
      <c r="S50">
        <v>-1.95</v>
      </c>
      <c r="T50">
        <v>-0.05</v>
      </c>
      <c r="U50">
        <v>1.9506409199999999</v>
      </c>
      <c r="V50">
        <v>5.0209599999999997E-3</v>
      </c>
      <c r="W50">
        <v>-1.6671890000000002E-2</v>
      </c>
      <c r="X50">
        <v>0</v>
      </c>
      <c r="Y50">
        <v>-0.87705325999999995</v>
      </c>
      <c r="Z50">
        <v>-0.27728216999999999</v>
      </c>
      <c r="AA50">
        <v>0.91984118999999998</v>
      </c>
    </row>
    <row r="51" spans="1:27" x14ac:dyDescent="0.25">
      <c r="A51">
        <v>1</v>
      </c>
      <c r="B51">
        <v>0.15</v>
      </c>
      <c r="C51">
        <v>50</v>
      </c>
      <c r="D51">
        <v>-0.872</v>
      </c>
      <c r="E51">
        <v>-0.29399999999999998</v>
      </c>
      <c r="F51">
        <v>4.4988390000000003E-2</v>
      </c>
      <c r="G51">
        <v>0.92024415999999998</v>
      </c>
      <c r="H51">
        <v>1</v>
      </c>
      <c r="I51">
        <v>0</v>
      </c>
      <c r="J51">
        <v>3.4666999999999999</v>
      </c>
      <c r="K51" s="3">
        <v>5.0049128600000001</v>
      </c>
      <c r="L51" s="3">
        <v>-1.2238489999999999E-2</v>
      </c>
      <c r="M51">
        <v>4.7999999999999996E-3</v>
      </c>
      <c r="N51">
        <v>-1.66E-2</v>
      </c>
      <c r="O51">
        <v>0.33887267999999998</v>
      </c>
      <c r="P51">
        <v>-8.8334499999999996E-3</v>
      </c>
      <c r="Q51">
        <v>8.8334499999999996E-3</v>
      </c>
      <c r="R51">
        <v>9.2609999999999996E-5</v>
      </c>
      <c r="S51">
        <v>-1.95</v>
      </c>
      <c r="T51">
        <v>-0.05</v>
      </c>
      <c r="U51">
        <v>1.9506409199999999</v>
      </c>
      <c r="V51">
        <v>4.7668700000000003E-3</v>
      </c>
      <c r="W51">
        <v>-1.6558400000000001E-2</v>
      </c>
      <c r="X51">
        <v>0</v>
      </c>
      <c r="Y51">
        <v>-0.87203229000000004</v>
      </c>
      <c r="Z51">
        <v>-0.29395406000000002</v>
      </c>
      <c r="AA51">
        <v>0.92024415999999998</v>
      </c>
    </row>
    <row r="52" spans="1:27" x14ac:dyDescent="0.25">
      <c r="A52">
        <v>1</v>
      </c>
      <c r="B52">
        <v>0.153</v>
      </c>
      <c r="C52">
        <v>51</v>
      </c>
      <c r="D52">
        <v>-0.86729999999999996</v>
      </c>
      <c r="E52">
        <v>-0.3105</v>
      </c>
      <c r="F52">
        <v>4.4319560000000001E-2</v>
      </c>
      <c r="G52">
        <v>0.92117713000000001</v>
      </c>
      <c r="H52">
        <v>1</v>
      </c>
      <c r="I52">
        <v>0</v>
      </c>
      <c r="J52">
        <v>3.4853999999999998</v>
      </c>
      <c r="K52" s="3">
        <v>4.9926917399999997</v>
      </c>
      <c r="L52" s="3">
        <v>-1.222112E-2</v>
      </c>
      <c r="M52">
        <v>4.4999999999999997E-3</v>
      </c>
      <c r="N52">
        <v>-1.6400000000000001E-2</v>
      </c>
      <c r="O52">
        <v>0.35584739999999998</v>
      </c>
      <c r="P52">
        <v>-8.7021200000000007E-3</v>
      </c>
      <c r="Q52">
        <v>8.7021200000000007E-3</v>
      </c>
      <c r="R52">
        <v>1.3133E-4</v>
      </c>
      <c r="S52">
        <v>-1.95</v>
      </c>
      <c r="T52">
        <v>-0.05</v>
      </c>
      <c r="U52">
        <v>1.9506409199999999</v>
      </c>
      <c r="V52">
        <v>4.4967399999999999E-3</v>
      </c>
      <c r="W52">
        <v>-1.6368279999999999E-2</v>
      </c>
      <c r="X52">
        <v>0</v>
      </c>
      <c r="Y52">
        <v>-0.86726543</v>
      </c>
      <c r="Z52">
        <v>-0.31051245999999999</v>
      </c>
      <c r="AA52">
        <v>0.92117713000000001</v>
      </c>
    </row>
    <row r="53" spans="1:27" x14ac:dyDescent="0.25">
      <c r="A53">
        <v>1</v>
      </c>
      <c r="B53">
        <v>0.156</v>
      </c>
      <c r="C53">
        <v>52</v>
      </c>
      <c r="D53">
        <v>-0.86280000000000001</v>
      </c>
      <c r="E53">
        <v>-0.32690000000000002</v>
      </c>
      <c r="F53">
        <v>4.345852E-2</v>
      </c>
      <c r="G53">
        <v>0.92261629999999994</v>
      </c>
      <c r="H53">
        <v>1</v>
      </c>
      <c r="I53">
        <v>0</v>
      </c>
      <c r="J53">
        <v>3.5038</v>
      </c>
      <c r="K53" s="3">
        <v>4.9804973099999996</v>
      </c>
      <c r="L53" s="3">
        <v>-1.2194429999999999E-2</v>
      </c>
      <c r="M53">
        <v>4.1999999999999997E-3</v>
      </c>
      <c r="N53">
        <v>-1.61E-2</v>
      </c>
      <c r="O53">
        <v>0.37249232999999998</v>
      </c>
      <c r="P53">
        <v>-8.5330600000000003E-3</v>
      </c>
      <c r="Q53">
        <v>8.5330600000000003E-3</v>
      </c>
      <c r="R53">
        <v>1.6907000000000001E-4</v>
      </c>
      <c r="S53">
        <v>-1.95</v>
      </c>
      <c r="T53">
        <v>-0.05</v>
      </c>
      <c r="U53">
        <v>1.9506409199999999</v>
      </c>
      <c r="V53">
        <v>4.2138999999999996E-3</v>
      </c>
      <c r="W53">
        <v>-1.6102700000000001E-2</v>
      </c>
      <c r="X53">
        <v>0</v>
      </c>
      <c r="Y53">
        <v>-0.86276869</v>
      </c>
      <c r="Z53">
        <v>-0.32688074</v>
      </c>
      <c r="AA53">
        <v>0.92261629999999994</v>
      </c>
    </row>
    <row r="54" spans="1:27" x14ac:dyDescent="0.25">
      <c r="A54">
        <v>1</v>
      </c>
      <c r="B54">
        <v>0.159</v>
      </c>
      <c r="C54">
        <v>53</v>
      </c>
      <c r="D54">
        <v>-0.85860000000000003</v>
      </c>
      <c r="E54">
        <v>-0.34300000000000003</v>
      </c>
      <c r="F54">
        <v>4.241164E-2</v>
      </c>
      <c r="G54">
        <v>0.92452904999999996</v>
      </c>
      <c r="H54">
        <v>1</v>
      </c>
      <c r="I54">
        <v>0</v>
      </c>
      <c r="J54">
        <v>3.5217000000000001</v>
      </c>
      <c r="K54" s="3">
        <v>4.9683387200000002</v>
      </c>
      <c r="L54" s="3">
        <v>-1.215859E-2</v>
      </c>
      <c r="M54">
        <v>3.8999999999999998E-3</v>
      </c>
      <c r="N54">
        <v>-1.5800000000000002E-2</v>
      </c>
      <c r="O54">
        <v>0.38873629999999998</v>
      </c>
      <c r="P54">
        <v>-8.3275099999999998E-3</v>
      </c>
      <c r="Q54">
        <v>8.3275099999999998E-3</v>
      </c>
      <c r="R54">
        <v>2.0555000000000001E-4</v>
      </c>
      <c r="S54">
        <v>-1.95</v>
      </c>
      <c r="T54">
        <v>-0.05</v>
      </c>
      <c r="U54">
        <v>1.9506409199999999</v>
      </c>
      <c r="V54">
        <v>3.92173E-3</v>
      </c>
      <c r="W54">
        <v>-1.576346E-2</v>
      </c>
      <c r="X54">
        <v>0</v>
      </c>
      <c r="Y54">
        <v>-0.85855479000000001</v>
      </c>
      <c r="Z54">
        <v>-0.34298343999999997</v>
      </c>
      <c r="AA54">
        <v>0.92452904999999996</v>
      </c>
    </row>
    <row r="55" spans="1:27" x14ac:dyDescent="0.25">
      <c r="A55">
        <v>1</v>
      </c>
      <c r="B55">
        <v>0.16200000000000001</v>
      </c>
      <c r="C55">
        <v>54</v>
      </c>
      <c r="D55">
        <v>-0.85460000000000003</v>
      </c>
      <c r="E55">
        <v>-0.35870000000000002</v>
      </c>
      <c r="F55">
        <v>4.118666E-2</v>
      </c>
      <c r="G55">
        <v>0.92687485000000003</v>
      </c>
      <c r="H55">
        <v>1</v>
      </c>
      <c r="I55">
        <v>0</v>
      </c>
      <c r="J55">
        <v>3.5390000000000001</v>
      </c>
      <c r="K55" s="3">
        <v>4.9562248699999998</v>
      </c>
      <c r="L55" s="3">
        <v>-1.2113850000000001E-2</v>
      </c>
      <c r="M55">
        <v>3.5999999999999999E-3</v>
      </c>
      <c r="N55">
        <v>-1.54E-2</v>
      </c>
      <c r="O55">
        <v>0.40451110000000001</v>
      </c>
      <c r="P55">
        <v>-8.0869800000000006E-3</v>
      </c>
      <c r="Q55">
        <v>8.0869800000000006E-3</v>
      </c>
      <c r="R55">
        <v>2.4052000000000001E-4</v>
      </c>
      <c r="S55">
        <v>-1.95</v>
      </c>
      <c r="T55">
        <v>-0.05</v>
      </c>
      <c r="U55">
        <v>1.9506409199999999</v>
      </c>
      <c r="V55">
        <v>3.6235600000000001E-3</v>
      </c>
      <c r="W55">
        <v>-1.535298E-2</v>
      </c>
      <c r="X55">
        <v>0</v>
      </c>
      <c r="Y55">
        <v>-0.85463306000000006</v>
      </c>
      <c r="Z55">
        <v>-0.35874689999999998</v>
      </c>
      <c r="AA55">
        <v>0.92687485000000003</v>
      </c>
    </row>
    <row r="56" spans="1:27" x14ac:dyDescent="0.25">
      <c r="A56">
        <v>1</v>
      </c>
      <c r="B56">
        <v>0.16500000000000001</v>
      </c>
      <c r="C56">
        <v>55</v>
      </c>
      <c r="D56">
        <v>-0.85099999999999998</v>
      </c>
      <c r="E56">
        <v>-0.37409999999999999</v>
      </c>
      <c r="F56">
        <v>3.9792679999999997E-2</v>
      </c>
      <c r="G56">
        <v>0.9296063</v>
      </c>
      <c r="H56">
        <v>1</v>
      </c>
      <c r="I56">
        <v>0</v>
      </c>
      <c r="J56">
        <v>3.5558000000000001</v>
      </c>
      <c r="K56" s="3">
        <v>4.9441643900000001</v>
      </c>
      <c r="L56" s="3">
        <v>-1.206048E-2</v>
      </c>
      <c r="M56">
        <v>3.3E-3</v>
      </c>
      <c r="N56">
        <v>-1.49E-2</v>
      </c>
      <c r="O56">
        <v>0.41975200000000001</v>
      </c>
      <c r="P56">
        <v>-7.8132700000000006E-3</v>
      </c>
      <c r="Q56">
        <v>7.8132700000000006E-3</v>
      </c>
      <c r="R56">
        <v>2.7370999999999998E-4</v>
      </c>
      <c r="S56">
        <v>-1.95</v>
      </c>
      <c r="T56">
        <v>-0.05</v>
      </c>
      <c r="U56">
        <v>1.9506409199999999</v>
      </c>
      <c r="V56">
        <v>3.3226900000000001E-3</v>
      </c>
      <c r="W56">
        <v>-1.487429E-2</v>
      </c>
      <c r="X56">
        <v>0</v>
      </c>
      <c r="Y56">
        <v>-0.85100949000000004</v>
      </c>
      <c r="Z56">
        <v>-0.37409988</v>
      </c>
      <c r="AA56">
        <v>0.9296063</v>
      </c>
    </row>
    <row r="57" spans="1:27" x14ac:dyDescent="0.25">
      <c r="A57">
        <v>1</v>
      </c>
      <c r="B57">
        <v>0.16800000000000001</v>
      </c>
      <c r="C57">
        <v>56</v>
      </c>
      <c r="D57">
        <v>-0.84770000000000001</v>
      </c>
      <c r="E57">
        <v>-0.38900000000000001</v>
      </c>
      <c r="F57">
        <v>3.8240030000000001E-2</v>
      </c>
      <c r="G57">
        <v>0.93267025999999997</v>
      </c>
      <c r="H57">
        <v>1</v>
      </c>
      <c r="I57">
        <v>0</v>
      </c>
      <c r="J57">
        <v>3.5718000000000001</v>
      </c>
      <c r="K57" s="3">
        <v>4.9321655700000004</v>
      </c>
      <c r="L57" s="3">
        <v>-1.199882E-2</v>
      </c>
      <c r="M57">
        <v>3.0000000000000001E-3</v>
      </c>
      <c r="N57">
        <v>-1.43E-2</v>
      </c>
      <c r="O57">
        <v>0.43439821000000001</v>
      </c>
      <c r="P57">
        <v>-7.5084100000000001E-3</v>
      </c>
      <c r="Q57">
        <v>7.5084100000000001E-3</v>
      </c>
      <c r="R57">
        <v>3.0486000000000001E-4</v>
      </c>
      <c r="S57">
        <v>-1.95</v>
      </c>
      <c r="T57">
        <v>-0.05</v>
      </c>
      <c r="U57">
        <v>1.9506409199999999</v>
      </c>
      <c r="V57">
        <v>3.0223099999999998E-3</v>
      </c>
      <c r="W57">
        <v>-1.433099E-2</v>
      </c>
      <c r="X57">
        <v>0</v>
      </c>
      <c r="Y57">
        <v>-0.84768679999999996</v>
      </c>
      <c r="Z57">
        <v>-0.38897417000000001</v>
      </c>
      <c r="AA57">
        <v>0.93267025999999997</v>
      </c>
    </row>
    <row r="58" spans="1:27" x14ac:dyDescent="0.25">
      <c r="A58">
        <v>1</v>
      </c>
      <c r="B58">
        <v>0.17100000000000001</v>
      </c>
      <c r="C58">
        <v>57</v>
      </c>
      <c r="D58">
        <v>-0.84470000000000001</v>
      </c>
      <c r="E58">
        <v>-0.40329999999999999</v>
      </c>
      <c r="F58">
        <v>3.6540280000000001E-2</v>
      </c>
      <c r="G58">
        <v>0.93600916999999995</v>
      </c>
      <c r="H58">
        <v>1</v>
      </c>
      <c r="I58">
        <v>0</v>
      </c>
      <c r="J58">
        <v>3.5871</v>
      </c>
      <c r="K58" s="3">
        <v>4.9202363099999999</v>
      </c>
      <c r="L58" s="3">
        <v>-1.1929260000000001E-2</v>
      </c>
      <c r="M58">
        <v>2.7000000000000001E-3</v>
      </c>
      <c r="N58">
        <v>-1.37E-2</v>
      </c>
      <c r="O58">
        <v>0.44839340999999999</v>
      </c>
      <c r="P58">
        <v>-7.1746700000000002E-3</v>
      </c>
      <c r="Q58">
        <v>7.1746700000000002E-3</v>
      </c>
      <c r="R58">
        <v>3.3375000000000001E-4</v>
      </c>
      <c r="S58">
        <v>-1.95</v>
      </c>
      <c r="T58">
        <v>-0.05</v>
      </c>
      <c r="U58">
        <v>1.9506409199999999</v>
      </c>
      <c r="V58">
        <v>2.7254599999999999E-3</v>
      </c>
      <c r="W58">
        <v>-1.372725E-2</v>
      </c>
      <c r="X58">
        <v>0</v>
      </c>
      <c r="Y58">
        <v>-0.84466450000000004</v>
      </c>
      <c r="Z58">
        <v>-0.40330516</v>
      </c>
      <c r="AA58">
        <v>0.93600916999999995</v>
      </c>
    </row>
    <row r="59" spans="1:27" x14ac:dyDescent="0.25">
      <c r="A59">
        <v>1</v>
      </c>
      <c r="B59">
        <v>0.17399999999999999</v>
      </c>
      <c r="C59">
        <v>58</v>
      </c>
      <c r="D59">
        <v>-0.84189999999999998</v>
      </c>
      <c r="E59">
        <v>-0.41699999999999998</v>
      </c>
      <c r="F59">
        <v>3.4706109999999998E-2</v>
      </c>
      <c r="G59">
        <v>0.93956233</v>
      </c>
      <c r="H59">
        <v>1</v>
      </c>
      <c r="I59">
        <v>0</v>
      </c>
      <c r="J59">
        <v>3.6015000000000001</v>
      </c>
      <c r="K59" s="3">
        <v>4.9083841000000001</v>
      </c>
      <c r="L59" s="3">
        <v>-1.185221E-2</v>
      </c>
      <c r="M59">
        <v>2.3999999999999998E-3</v>
      </c>
      <c r="N59">
        <v>-1.3100000000000001E-2</v>
      </c>
      <c r="O59">
        <v>0.46168610999999998</v>
      </c>
      <c r="P59">
        <v>-6.8145300000000001E-3</v>
      </c>
      <c r="Q59">
        <v>6.8145300000000001E-3</v>
      </c>
      <c r="R59">
        <v>3.6014E-4</v>
      </c>
      <c r="S59">
        <v>-1.95</v>
      </c>
      <c r="T59">
        <v>-0.05</v>
      </c>
      <c r="U59">
        <v>1.9506409199999999</v>
      </c>
      <c r="V59">
        <v>2.4350499999999998E-3</v>
      </c>
      <c r="W59">
        <v>-1.3067759999999999E-2</v>
      </c>
      <c r="X59">
        <v>0</v>
      </c>
      <c r="Y59">
        <v>-0.84193903000000003</v>
      </c>
      <c r="Z59">
        <v>-0.41703241000000002</v>
      </c>
      <c r="AA59">
        <v>0.93956233</v>
      </c>
    </row>
    <row r="60" spans="1:27" x14ac:dyDescent="0.25">
      <c r="A60">
        <v>1</v>
      </c>
      <c r="B60">
        <v>0.17699999999999999</v>
      </c>
      <c r="C60">
        <v>59</v>
      </c>
      <c r="D60">
        <v>-0.83950000000000002</v>
      </c>
      <c r="E60">
        <v>-0.43009999999999998</v>
      </c>
      <c r="F60">
        <v>3.2751309999999999E-2</v>
      </c>
      <c r="G60">
        <v>0.94326725</v>
      </c>
      <c r="H60">
        <v>1</v>
      </c>
      <c r="I60">
        <v>0</v>
      </c>
      <c r="J60">
        <v>3.6151</v>
      </c>
      <c r="K60" s="3">
        <v>4.89661597</v>
      </c>
      <c r="L60" s="3">
        <v>-1.176813E-2</v>
      </c>
      <c r="M60">
        <v>2.2000000000000001E-3</v>
      </c>
      <c r="N60">
        <v>-1.24E-2</v>
      </c>
      <c r="O60">
        <v>0.47423010999999998</v>
      </c>
      <c r="P60">
        <v>-6.4307000000000001E-3</v>
      </c>
      <c r="Q60">
        <v>6.4307000000000001E-3</v>
      </c>
      <c r="R60">
        <v>3.8381999999999999E-4</v>
      </c>
      <c r="S60">
        <v>-1.95</v>
      </c>
      <c r="T60">
        <v>-0.05</v>
      </c>
      <c r="U60">
        <v>1.9506409199999999</v>
      </c>
      <c r="V60">
        <v>2.1537399999999999E-3</v>
      </c>
      <c r="W60">
        <v>-1.2357720000000001E-2</v>
      </c>
      <c r="X60">
        <v>0</v>
      </c>
      <c r="Y60">
        <v>-0.83950398999999998</v>
      </c>
      <c r="Z60">
        <v>-0.43010018</v>
      </c>
      <c r="AA60">
        <v>0.94326725</v>
      </c>
    </row>
    <row r="61" spans="1:27" x14ac:dyDescent="0.25">
      <c r="A61">
        <v>1</v>
      </c>
      <c r="B61">
        <v>0.18</v>
      </c>
      <c r="C61">
        <v>60</v>
      </c>
      <c r="D61">
        <v>-0.83740000000000003</v>
      </c>
      <c r="E61">
        <v>-0.4425</v>
      </c>
      <c r="F61">
        <v>3.0690640000000002E-2</v>
      </c>
      <c r="G61">
        <v>0.94706095000000001</v>
      </c>
      <c r="H61">
        <v>1</v>
      </c>
      <c r="I61">
        <v>0</v>
      </c>
      <c r="J61">
        <v>3.6276999999999999</v>
      </c>
      <c r="K61" s="3">
        <v>4.8849384699999998</v>
      </c>
      <c r="L61" s="3">
        <v>-1.16775E-2</v>
      </c>
      <c r="M61">
        <v>1.9E-3</v>
      </c>
      <c r="N61">
        <v>-1.1599999999999999E-2</v>
      </c>
      <c r="O61">
        <v>0.48598485000000002</v>
      </c>
      <c r="P61">
        <v>-6.0260899999999996E-3</v>
      </c>
      <c r="Q61">
        <v>6.0260899999999996E-3</v>
      </c>
      <c r="R61">
        <v>4.0461000000000002E-4</v>
      </c>
      <c r="S61">
        <v>-1.95</v>
      </c>
      <c r="T61">
        <v>-0.05</v>
      </c>
      <c r="U61">
        <v>1.9506409199999999</v>
      </c>
      <c r="V61">
        <v>1.8839799999999999E-3</v>
      </c>
      <c r="W61">
        <v>-1.160278E-2</v>
      </c>
      <c r="X61">
        <v>0</v>
      </c>
      <c r="Y61">
        <v>-0.83735024999999996</v>
      </c>
      <c r="Z61">
        <v>-0.44245790000000002</v>
      </c>
      <c r="AA61">
        <v>0.94706095000000001</v>
      </c>
    </row>
    <row r="62" spans="1:27" x14ac:dyDescent="0.25">
      <c r="A62">
        <v>1</v>
      </c>
      <c r="B62">
        <v>0.183</v>
      </c>
      <c r="C62">
        <v>61</v>
      </c>
      <c r="D62">
        <v>-0.83550000000000002</v>
      </c>
      <c r="E62">
        <v>-0.4541</v>
      </c>
      <c r="F62">
        <v>2.8539809999999999E-2</v>
      </c>
      <c r="G62">
        <v>0.95088116</v>
      </c>
      <c r="H62">
        <v>1</v>
      </c>
      <c r="I62">
        <v>0</v>
      </c>
      <c r="J62">
        <v>3.6394000000000002</v>
      </c>
      <c r="K62" s="3">
        <v>4.87335765</v>
      </c>
      <c r="L62" s="3">
        <v>-1.158082E-2</v>
      </c>
      <c r="M62">
        <v>1.6000000000000001E-3</v>
      </c>
      <c r="N62">
        <v>-1.0800000000000001E-2</v>
      </c>
      <c r="O62">
        <v>0.49691581000000001</v>
      </c>
      <c r="P62">
        <v>-5.60378E-3</v>
      </c>
      <c r="Q62">
        <v>5.60378E-3</v>
      </c>
      <c r="R62">
        <v>4.2231000000000001E-4</v>
      </c>
      <c r="S62">
        <v>-1.95</v>
      </c>
      <c r="T62">
        <v>-0.05</v>
      </c>
      <c r="U62">
        <v>1.9506409199999999</v>
      </c>
      <c r="V62">
        <v>1.6279899999999999E-3</v>
      </c>
      <c r="W62">
        <v>-1.0809050000000001E-2</v>
      </c>
      <c r="X62">
        <v>0</v>
      </c>
      <c r="Y62">
        <v>-0.83546626999999996</v>
      </c>
      <c r="Z62">
        <v>-0.45406067999999999</v>
      </c>
      <c r="AA62">
        <v>0.95088116</v>
      </c>
    </row>
    <row r="63" spans="1:27" x14ac:dyDescent="0.25">
      <c r="A63">
        <v>1</v>
      </c>
      <c r="B63">
        <v>0.186</v>
      </c>
      <c r="C63">
        <v>62</v>
      </c>
      <c r="D63">
        <v>-0.83379999999999999</v>
      </c>
      <c r="E63">
        <v>-0.46489999999999998</v>
      </c>
      <c r="F63">
        <v>2.6315430000000001E-2</v>
      </c>
      <c r="G63">
        <v>0.95466755000000003</v>
      </c>
      <c r="H63">
        <v>1</v>
      </c>
      <c r="I63">
        <v>0</v>
      </c>
      <c r="J63">
        <v>3.6501999999999999</v>
      </c>
      <c r="K63" s="3">
        <v>4.8618790399999998</v>
      </c>
      <c r="L63" s="3">
        <v>-1.147861E-2</v>
      </c>
      <c r="M63">
        <v>1.4E-3</v>
      </c>
      <c r="N63">
        <v>-0.01</v>
      </c>
      <c r="O63">
        <v>0.50699481000000002</v>
      </c>
      <c r="P63">
        <v>-5.1670199999999996E-3</v>
      </c>
      <c r="Q63">
        <v>5.1670199999999996E-3</v>
      </c>
      <c r="R63">
        <v>4.3676000000000001E-4</v>
      </c>
      <c r="S63">
        <v>-1.95</v>
      </c>
      <c r="T63">
        <v>-0.05</v>
      </c>
      <c r="U63">
        <v>1.9506409199999999</v>
      </c>
      <c r="V63">
        <v>1.3876800000000001E-3</v>
      </c>
      <c r="W63">
        <v>-9.9830200000000004E-3</v>
      </c>
      <c r="X63">
        <v>0</v>
      </c>
      <c r="Y63">
        <v>-0.83383828000000004</v>
      </c>
      <c r="Z63">
        <v>-0.46486972999999998</v>
      </c>
      <c r="AA63">
        <v>0.95466755000000003</v>
      </c>
    </row>
    <row r="64" spans="1:27" x14ac:dyDescent="0.25">
      <c r="A64">
        <v>1</v>
      </c>
      <c r="B64">
        <v>0.189</v>
      </c>
      <c r="C64">
        <v>63</v>
      </c>
      <c r="D64">
        <v>-0.83250000000000002</v>
      </c>
      <c r="E64">
        <v>-0.47489999999999999</v>
      </c>
      <c r="F64">
        <v>2.4034929999999999E-2</v>
      </c>
      <c r="G64">
        <v>0.95836273999999999</v>
      </c>
      <c r="H64">
        <v>1</v>
      </c>
      <c r="I64">
        <v>0</v>
      </c>
      <c r="J64">
        <v>3.66</v>
      </c>
      <c r="K64" s="3">
        <v>4.8505076599999999</v>
      </c>
      <c r="L64" s="3">
        <v>-1.137139E-2</v>
      </c>
      <c r="M64">
        <v>1.1999999999999999E-3</v>
      </c>
      <c r="N64">
        <v>-9.1000000000000004E-3</v>
      </c>
      <c r="O64">
        <v>0.51620036999999996</v>
      </c>
      <c r="P64">
        <v>-4.7192500000000004E-3</v>
      </c>
      <c r="Q64">
        <v>4.7192500000000004E-3</v>
      </c>
      <c r="R64">
        <v>4.4777E-4</v>
      </c>
      <c r="S64">
        <v>-1.95</v>
      </c>
      <c r="T64">
        <v>-0.05</v>
      </c>
      <c r="U64">
        <v>1.9506409199999999</v>
      </c>
      <c r="V64">
        <v>1.16468E-3</v>
      </c>
      <c r="W64">
        <v>-9.1315800000000003E-3</v>
      </c>
      <c r="X64">
        <v>0</v>
      </c>
      <c r="Y64">
        <v>-0.83245060000000004</v>
      </c>
      <c r="Z64">
        <v>-0.47485274999999999</v>
      </c>
      <c r="AA64">
        <v>0.95836273999999999</v>
      </c>
    </row>
    <row r="65" spans="1:27" x14ac:dyDescent="0.25">
      <c r="A65">
        <v>1</v>
      </c>
      <c r="B65">
        <v>0.192</v>
      </c>
      <c r="C65">
        <v>64</v>
      </c>
      <c r="D65">
        <v>-0.83130000000000004</v>
      </c>
      <c r="E65">
        <v>-0.48399999999999999</v>
      </c>
      <c r="F65">
        <v>2.1716579999999999E-2</v>
      </c>
      <c r="G65">
        <v>0.96191325999999999</v>
      </c>
      <c r="H65">
        <v>1</v>
      </c>
      <c r="I65">
        <v>0</v>
      </c>
      <c r="J65">
        <v>3.6688000000000001</v>
      </c>
      <c r="K65" s="3">
        <v>4.8392479699999997</v>
      </c>
      <c r="L65" s="3">
        <v>-1.1259689999999999E-2</v>
      </c>
      <c r="M65">
        <v>1E-3</v>
      </c>
      <c r="N65">
        <v>-8.3000000000000001E-3</v>
      </c>
      <c r="O65">
        <v>0.52451798000000005</v>
      </c>
      <c r="P65">
        <v>-4.2640400000000002E-3</v>
      </c>
      <c r="Q65">
        <v>4.2640400000000002E-3</v>
      </c>
      <c r="R65">
        <v>4.5521E-4</v>
      </c>
      <c r="S65">
        <v>-1.95</v>
      </c>
      <c r="T65">
        <v>-0.05</v>
      </c>
      <c r="U65">
        <v>1.9506409199999999</v>
      </c>
      <c r="V65">
        <v>9.6033000000000002E-4</v>
      </c>
      <c r="W65">
        <v>-8.2619900000000003E-3</v>
      </c>
      <c r="X65">
        <v>0</v>
      </c>
      <c r="Y65">
        <v>-0.83128592000000001</v>
      </c>
      <c r="Z65">
        <v>-0.48398433000000002</v>
      </c>
      <c r="AA65">
        <v>0.96191325999999999</v>
      </c>
    </row>
    <row r="66" spans="1:27" x14ac:dyDescent="0.25">
      <c r="A66">
        <v>1</v>
      </c>
      <c r="B66">
        <v>0.19500000000000001</v>
      </c>
      <c r="C66">
        <v>65</v>
      </c>
      <c r="D66">
        <v>-0.83030000000000004</v>
      </c>
      <c r="E66">
        <v>-0.49220000000000003</v>
      </c>
      <c r="F66">
        <v>1.9379469999999999E-2</v>
      </c>
      <c r="G66">
        <v>0.96527045</v>
      </c>
      <c r="H66">
        <v>1</v>
      </c>
      <c r="I66">
        <v>0</v>
      </c>
      <c r="J66">
        <v>3.6766999999999999</v>
      </c>
      <c r="K66" s="3">
        <v>4.8281039300000002</v>
      </c>
      <c r="L66" s="3">
        <v>-1.1144039999999999E-2</v>
      </c>
      <c r="M66">
        <v>8.0000000000000004E-4</v>
      </c>
      <c r="N66">
        <v>-7.4000000000000003E-3</v>
      </c>
      <c r="O66">
        <v>0.53194047</v>
      </c>
      <c r="P66">
        <v>-3.8051500000000002E-3</v>
      </c>
      <c r="Q66">
        <v>3.8051500000000002E-3</v>
      </c>
      <c r="R66">
        <v>4.5888999999999999E-4</v>
      </c>
      <c r="S66">
        <v>-1.95</v>
      </c>
      <c r="T66">
        <v>-0.05</v>
      </c>
      <c r="U66">
        <v>1.9506409199999999</v>
      </c>
      <c r="V66">
        <v>7.7563999999999997E-4</v>
      </c>
      <c r="W66">
        <v>-7.3818399999999998E-3</v>
      </c>
      <c r="X66">
        <v>0</v>
      </c>
      <c r="Y66">
        <v>-0.8303256</v>
      </c>
      <c r="Z66">
        <v>-0.49224632000000001</v>
      </c>
      <c r="AA66">
        <v>0.96527045</v>
      </c>
    </row>
    <row r="67" spans="1:27" x14ac:dyDescent="0.25">
      <c r="A67">
        <v>1</v>
      </c>
      <c r="B67">
        <v>0.19800000000000001</v>
      </c>
      <c r="C67">
        <v>66</v>
      </c>
      <c r="D67">
        <v>-0.82950000000000002</v>
      </c>
      <c r="E67">
        <v>-0.49959999999999999</v>
      </c>
      <c r="F67">
        <v>1.7043550000000001E-2</v>
      </c>
      <c r="G67">
        <v>0.96839116000000003</v>
      </c>
      <c r="H67">
        <v>1</v>
      </c>
      <c r="I67">
        <v>0</v>
      </c>
      <c r="J67">
        <v>3.6837</v>
      </c>
      <c r="K67" s="3">
        <v>4.8170789799999998</v>
      </c>
      <c r="L67" s="3">
        <v>-1.102495E-2</v>
      </c>
      <c r="M67">
        <v>5.9999999999999995E-4</v>
      </c>
      <c r="N67">
        <v>-6.4999999999999997E-3</v>
      </c>
      <c r="O67">
        <v>0.53846826999999997</v>
      </c>
      <c r="P67">
        <v>-3.3464900000000001E-3</v>
      </c>
      <c r="Q67">
        <v>3.3464900000000001E-3</v>
      </c>
      <c r="R67">
        <v>4.5866E-4</v>
      </c>
      <c r="S67">
        <v>-1.95</v>
      </c>
      <c r="T67">
        <v>-0.05</v>
      </c>
      <c r="U67">
        <v>1.9506409199999999</v>
      </c>
      <c r="V67">
        <v>6.1132999999999999E-4</v>
      </c>
      <c r="W67">
        <v>-6.4991199999999997E-3</v>
      </c>
      <c r="X67">
        <v>0</v>
      </c>
      <c r="Y67">
        <v>-0.82954996000000003</v>
      </c>
      <c r="Z67">
        <v>-0.49962815999999999</v>
      </c>
      <c r="AA67">
        <v>0.96839116000000003</v>
      </c>
    </row>
    <row r="68" spans="1:27" x14ac:dyDescent="0.25">
      <c r="A68">
        <v>1</v>
      </c>
      <c r="B68">
        <v>0.20100000000000001</v>
      </c>
      <c r="C68">
        <v>67</v>
      </c>
      <c r="D68">
        <v>-0.82889999999999997</v>
      </c>
      <c r="E68">
        <v>-0.50609999999999999</v>
      </c>
      <c r="F68">
        <v>1.472978E-2</v>
      </c>
      <c r="G68">
        <v>0.97123842000000005</v>
      </c>
      <c r="H68">
        <v>1</v>
      </c>
      <c r="I68">
        <v>0</v>
      </c>
      <c r="J68">
        <v>3.6897000000000002</v>
      </c>
      <c r="K68" s="3">
        <v>4.8061760600000003</v>
      </c>
      <c r="L68" s="3">
        <v>-1.090292E-2</v>
      </c>
      <c r="M68">
        <v>5.0000000000000001E-4</v>
      </c>
      <c r="N68">
        <v>-5.5999999999999999E-3</v>
      </c>
      <c r="O68">
        <v>0.54410988999999998</v>
      </c>
      <c r="P68">
        <v>-2.8921799999999998E-3</v>
      </c>
      <c r="Q68">
        <v>2.8921799999999998E-3</v>
      </c>
      <c r="R68">
        <v>4.5430999999999998E-4</v>
      </c>
      <c r="S68">
        <v>-1.95</v>
      </c>
      <c r="T68">
        <v>-0.05</v>
      </c>
      <c r="U68">
        <v>1.9506409199999999</v>
      </c>
      <c r="V68">
        <v>4.6776000000000001E-4</v>
      </c>
      <c r="W68">
        <v>-5.62219E-3</v>
      </c>
      <c r="X68">
        <v>0</v>
      </c>
      <c r="Y68">
        <v>-0.82893863000000001</v>
      </c>
      <c r="Z68">
        <v>-0.50612727999999996</v>
      </c>
      <c r="AA68">
        <v>0.97123842000000005</v>
      </c>
    </row>
    <row r="69" spans="1:27" x14ac:dyDescent="0.25">
      <c r="A69">
        <v>1</v>
      </c>
      <c r="B69">
        <v>0.20399999999999999</v>
      </c>
      <c r="C69">
        <v>68</v>
      </c>
      <c r="D69">
        <v>-0.82850000000000001</v>
      </c>
      <c r="E69">
        <v>-0.51170000000000004</v>
      </c>
      <c r="F69">
        <v>1.2460260000000001E-2</v>
      </c>
      <c r="G69">
        <v>0.97378206</v>
      </c>
      <c r="H69">
        <v>1</v>
      </c>
      <c r="I69">
        <v>0</v>
      </c>
      <c r="J69">
        <v>3.6949000000000001</v>
      </c>
      <c r="K69" s="3">
        <v>4.7953976100000002</v>
      </c>
      <c r="L69" s="3">
        <v>-1.077845E-2</v>
      </c>
      <c r="M69">
        <v>2.9999999999999997E-4</v>
      </c>
      <c r="N69">
        <v>-4.7999999999999996E-3</v>
      </c>
      <c r="O69">
        <v>0.54888225999999996</v>
      </c>
      <c r="P69">
        <v>-2.4465699999999999E-3</v>
      </c>
      <c r="Q69">
        <v>2.4465699999999999E-3</v>
      </c>
      <c r="R69">
        <v>4.4561999999999998E-4</v>
      </c>
      <c r="S69">
        <v>-1.95</v>
      </c>
      <c r="T69">
        <v>-0.05</v>
      </c>
      <c r="U69">
        <v>1.9506409199999999</v>
      </c>
      <c r="V69">
        <v>3.4500999999999998E-4</v>
      </c>
      <c r="W69">
        <v>-4.7598900000000001E-3</v>
      </c>
      <c r="X69">
        <v>0</v>
      </c>
      <c r="Y69">
        <v>-0.82847086000000003</v>
      </c>
      <c r="Z69">
        <v>-0.51174947000000004</v>
      </c>
      <c r="AA69">
        <v>0.97378206</v>
      </c>
    </row>
    <row r="70" spans="1:27" x14ac:dyDescent="0.25">
      <c r="A70">
        <v>1</v>
      </c>
      <c r="B70">
        <v>0.20699999999999999</v>
      </c>
      <c r="C70">
        <v>69</v>
      </c>
      <c r="D70">
        <v>-0.82809999999999995</v>
      </c>
      <c r="E70">
        <v>-0.51649999999999996</v>
      </c>
      <c r="F70">
        <v>1.0258669999999999E-2</v>
      </c>
      <c r="G70">
        <v>0.97599915000000004</v>
      </c>
      <c r="H70">
        <v>1</v>
      </c>
      <c r="I70">
        <v>0</v>
      </c>
      <c r="J70">
        <v>3.6993</v>
      </c>
      <c r="K70" s="3">
        <v>4.7847455999999999</v>
      </c>
      <c r="L70" s="3">
        <v>-1.0652E-2</v>
      </c>
      <c r="M70">
        <v>2.0000000000000001E-4</v>
      </c>
      <c r="N70">
        <v>-3.8999999999999998E-3</v>
      </c>
      <c r="O70">
        <v>0.55281141</v>
      </c>
      <c r="P70">
        <v>-2.0142799999999998E-3</v>
      </c>
      <c r="Q70">
        <v>2.0142799999999998E-3</v>
      </c>
      <c r="R70">
        <v>4.3228E-4</v>
      </c>
      <c r="S70">
        <v>-1.95</v>
      </c>
      <c r="T70">
        <v>-0.05</v>
      </c>
      <c r="U70">
        <v>1.9506409199999999</v>
      </c>
      <c r="V70">
        <v>2.4279E-4</v>
      </c>
      <c r="W70">
        <v>-3.9216399999999997E-3</v>
      </c>
      <c r="X70">
        <v>0</v>
      </c>
      <c r="Y70">
        <v>-0.82812585000000005</v>
      </c>
      <c r="Z70">
        <v>-0.51650936000000003</v>
      </c>
      <c r="AA70">
        <v>0.97599915000000004</v>
      </c>
    </row>
    <row r="71" spans="1:27" x14ac:dyDescent="0.25">
      <c r="A71">
        <v>1</v>
      </c>
      <c r="B71">
        <v>0.21</v>
      </c>
      <c r="C71">
        <v>70</v>
      </c>
      <c r="D71">
        <v>-0.82789999999999997</v>
      </c>
      <c r="E71">
        <v>-0.52039999999999997</v>
      </c>
      <c r="F71">
        <v>8.15075E-3</v>
      </c>
      <c r="G71">
        <v>0.97787462000000003</v>
      </c>
      <c r="H71">
        <v>1</v>
      </c>
      <c r="I71">
        <v>0</v>
      </c>
      <c r="J71">
        <v>3.7027999999999999</v>
      </c>
      <c r="K71" s="3">
        <v>4.7742215899999998</v>
      </c>
      <c r="L71" s="3">
        <v>-1.052401E-2</v>
      </c>
      <c r="M71">
        <v>2.0000000000000001E-4</v>
      </c>
      <c r="N71">
        <v>-3.0999999999999999E-3</v>
      </c>
      <c r="O71">
        <v>0.55593320000000002</v>
      </c>
      <c r="P71">
        <v>-1.6004000000000001E-3</v>
      </c>
      <c r="Q71">
        <v>1.6004000000000001E-3</v>
      </c>
      <c r="R71">
        <v>4.1388999999999998E-4</v>
      </c>
      <c r="S71">
        <v>-1.95</v>
      </c>
      <c r="T71">
        <v>-0.05</v>
      </c>
      <c r="U71">
        <v>1.9506409199999999</v>
      </c>
      <c r="V71">
        <v>1.6050999999999999E-4</v>
      </c>
      <c r="W71">
        <v>-3.1176699999999999E-3</v>
      </c>
      <c r="X71">
        <v>0</v>
      </c>
      <c r="Y71">
        <v>-0.82788306</v>
      </c>
      <c r="Z71">
        <v>-0.52043099999999998</v>
      </c>
      <c r="AA71">
        <v>0.97787462000000003</v>
      </c>
    </row>
    <row r="72" spans="1:27" x14ac:dyDescent="0.25">
      <c r="A72">
        <v>1</v>
      </c>
      <c r="B72">
        <v>0.21299999999999999</v>
      </c>
      <c r="C72">
        <v>71</v>
      </c>
      <c r="D72">
        <v>-0.82769999999999999</v>
      </c>
      <c r="E72">
        <v>-0.52349999999999997</v>
      </c>
      <c r="F72">
        <v>6.1653599999999999E-3</v>
      </c>
      <c r="G72">
        <v>0.97940176999999995</v>
      </c>
      <c r="H72">
        <v>1</v>
      </c>
      <c r="I72">
        <v>0</v>
      </c>
      <c r="J72">
        <v>3.7056</v>
      </c>
      <c r="K72" s="3">
        <v>4.7638267000000001</v>
      </c>
      <c r="L72" s="3">
        <v>-1.03949E-2</v>
      </c>
      <c r="M72">
        <v>1E-4</v>
      </c>
      <c r="N72">
        <v>-2.3999999999999998E-3</v>
      </c>
      <c r="O72">
        <v>0.55829459000000003</v>
      </c>
      <c r="P72">
        <v>-1.21057E-3</v>
      </c>
      <c r="Q72">
        <v>1.21057E-3</v>
      </c>
      <c r="R72">
        <v>3.8983000000000003E-4</v>
      </c>
      <c r="S72">
        <v>-1.95</v>
      </c>
      <c r="T72">
        <v>-0.05</v>
      </c>
      <c r="U72">
        <v>1.9506409199999999</v>
      </c>
      <c r="V72">
        <v>9.7200000000000004E-5</v>
      </c>
      <c r="W72">
        <v>-2.3593799999999999E-3</v>
      </c>
      <c r="X72">
        <v>0</v>
      </c>
      <c r="Y72">
        <v>-0.82772254999999995</v>
      </c>
      <c r="Z72">
        <v>-0.52354866</v>
      </c>
      <c r="AA72">
        <v>0.97940176999999995</v>
      </c>
    </row>
    <row r="73" spans="1:27" x14ac:dyDescent="0.25">
      <c r="A73">
        <v>1</v>
      </c>
      <c r="B73">
        <v>0.216</v>
      </c>
      <c r="C73">
        <v>72</v>
      </c>
      <c r="D73">
        <v>-0.8276</v>
      </c>
      <c r="E73">
        <v>-0.52590000000000003</v>
      </c>
      <c r="F73">
        <v>4.3362699999999997E-3</v>
      </c>
      <c r="G73">
        <v>0.98058299000000004</v>
      </c>
      <c r="H73">
        <v>1</v>
      </c>
      <c r="I73">
        <v>0</v>
      </c>
      <c r="J73">
        <v>3.7077</v>
      </c>
      <c r="K73" s="3">
        <v>4.7535616599999999</v>
      </c>
      <c r="L73" s="3">
        <v>-1.026504E-2</v>
      </c>
      <c r="M73">
        <v>1E-4</v>
      </c>
      <c r="N73">
        <v>-1.6999999999999999E-3</v>
      </c>
      <c r="O73">
        <v>0.55995541000000004</v>
      </c>
      <c r="P73">
        <v>-8.5141999999999998E-4</v>
      </c>
      <c r="Q73">
        <v>8.5141999999999998E-4</v>
      </c>
      <c r="R73">
        <v>3.5913999999999998E-4</v>
      </c>
      <c r="S73">
        <v>-1.95</v>
      </c>
      <c r="T73">
        <v>-0.05</v>
      </c>
      <c r="U73">
        <v>1.9506409199999999</v>
      </c>
      <c r="V73">
        <v>5.1539999999999998E-5</v>
      </c>
      <c r="W73">
        <v>-1.6600199999999999E-3</v>
      </c>
      <c r="X73">
        <v>0</v>
      </c>
      <c r="Y73">
        <v>-0.82762535000000004</v>
      </c>
      <c r="Z73">
        <v>-0.52590804000000002</v>
      </c>
      <c r="AA73">
        <v>0.98058299000000004</v>
      </c>
    </row>
    <row r="74" spans="1:27" x14ac:dyDescent="0.25">
      <c r="A74">
        <v>1</v>
      </c>
      <c r="B74">
        <v>0.219</v>
      </c>
      <c r="C74">
        <v>73</v>
      </c>
      <c r="D74">
        <v>-0.8276</v>
      </c>
      <c r="E74">
        <v>-0.52759999999999996</v>
      </c>
      <c r="F74">
        <v>2.7057000000000001E-3</v>
      </c>
      <c r="G74">
        <v>0.98143082999999998</v>
      </c>
      <c r="H74">
        <v>1</v>
      </c>
      <c r="I74">
        <v>0</v>
      </c>
      <c r="J74">
        <v>3.7090999999999998</v>
      </c>
      <c r="K74" s="3">
        <v>4.7434268700000004</v>
      </c>
      <c r="L74" s="3">
        <v>-1.0134789999999999E-2</v>
      </c>
      <c r="M74">
        <v>0</v>
      </c>
      <c r="N74">
        <v>-1E-3</v>
      </c>
      <c r="O74">
        <v>0.56099171000000003</v>
      </c>
      <c r="P74">
        <v>-5.3125999999999998E-4</v>
      </c>
      <c r="Q74">
        <v>5.3125999999999998E-4</v>
      </c>
      <c r="R74">
        <v>3.2016E-4</v>
      </c>
      <c r="S74">
        <v>-1.95</v>
      </c>
      <c r="T74">
        <v>-0.05</v>
      </c>
      <c r="U74">
        <v>1.9506409199999999</v>
      </c>
      <c r="V74">
        <v>2.1800000000000001E-5</v>
      </c>
      <c r="W74">
        <v>-1.03607E-3</v>
      </c>
      <c r="X74">
        <v>0</v>
      </c>
      <c r="Y74">
        <v>-0.82757380999999997</v>
      </c>
      <c r="Z74">
        <v>-0.52756807000000006</v>
      </c>
      <c r="AA74">
        <v>0.98143082999999998</v>
      </c>
    </row>
    <row r="75" spans="1:27" x14ac:dyDescent="0.25">
      <c r="A75">
        <v>1</v>
      </c>
      <c r="B75">
        <v>0.222</v>
      </c>
      <c r="C75">
        <v>74</v>
      </c>
      <c r="D75">
        <v>-0.8276</v>
      </c>
      <c r="E75">
        <v>-0.52859999999999996</v>
      </c>
      <c r="F75">
        <v>1.3326600000000001E-3</v>
      </c>
      <c r="G75">
        <v>0.9819698</v>
      </c>
      <c r="H75">
        <v>1</v>
      </c>
      <c r="I75">
        <v>0</v>
      </c>
      <c r="J75">
        <v>3.71</v>
      </c>
      <c r="K75" s="3">
        <v>4.7334224000000003</v>
      </c>
      <c r="L75" s="3">
        <v>-1.000447E-2</v>
      </c>
      <c r="M75">
        <v>0</v>
      </c>
      <c r="N75">
        <v>-5.0000000000000001E-4</v>
      </c>
      <c r="O75">
        <v>0.56150213000000004</v>
      </c>
      <c r="P75">
        <v>-2.6166999999999998E-4</v>
      </c>
      <c r="Q75">
        <v>2.6166999999999998E-4</v>
      </c>
      <c r="R75">
        <v>2.6959E-4</v>
      </c>
      <c r="S75">
        <v>-1.95</v>
      </c>
      <c r="T75">
        <v>-0.05</v>
      </c>
      <c r="U75">
        <v>1.9506409199999999</v>
      </c>
      <c r="V75">
        <v>5.6999999999999996E-6</v>
      </c>
      <c r="W75">
        <v>-5.1039E-4</v>
      </c>
      <c r="X75">
        <v>0</v>
      </c>
      <c r="Y75">
        <v>-0.82755202000000005</v>
      </c>
      <c r="Z75">
        <v>-0.52860414</v>
      </c>
      <c r="AA75">
        <v>0.9819698</v>
      </c>
    </row>
    <row r="76" spans="1:27" x14ac:dyDescent="0.25">
      <c r="A76">
        <v>1</v>
      </c>
      <c r="B76">
        <v>0.22500000000000001</v>
      </c>
      <c r="C76">
        <v>75</v>
      </c>
      <c r="D76">
        <v>-0.82750000000000001</v>
      </c>
      <c r="E76">
        <v>-0.52910000000000001</v>
      </c>
      <c r="F76">
        <v>3.2006999999999999E-4</v>
      </c>
      <c r="G76">
        <v>0.98223983999999998</v>
      </c>
      <c r="H76">
        <v>1</v>
      </c>
      <c r="I76">
        <v>0</v>
      </c>
      <c r="J76">
        <v>3.7105000000000001</v>
      </c>
      <c r="K76" s="3">
        <v>4.7235480499999998</v>
      </c>
      <c r="L76" s="3">
        <v>-9.8743500000000005E-3</v>
      </c>
      <c r="M76">
        <v>0</v>
      </c>
      <c r="N76">
        <v>-1E-4</v>
      </c>
      <c r="O76">
        <v>0.56162471999999997</v>
      </c>
      <c r="P76">
        <v>-6.2849999999999996E-5</v>
      </c>
      <c r="Q76">
        <v>6.2849999999999996E-5</v>
      </c>
      <c r="R76">
        <v>1.9882E-4</v>
      </c>
      <c r="S76">
        <v>-1.95</v>
      </c>
      <c r="T76">
        <v>-0.05</v>
      </c>
      <c r="U76">
        <v>1.9506409199999999</v>
      </c>
      <c r="V76">
        <v>1.6999999999999999E-7</v>
      </c>
      <c r="W76">
        <v>-1.2259E-4</v>
      </c>
      <c r="X76">
        <v>0</v>
      </c>
      <c r="Y76">
        <v>-0.82754631999999995</v>
      </c>
      <c r="Z76">
        <v>-0.52911452999999997</v>
      </c>
      <c r="AA76">
        <v>0.98223983999999998</v>
      </c>
    </row>
    <row r="77" spans="1:27" x14ac:dyDescent="0.25">
      <c r="A77">
        <v>1</v>
      </c>
      <c r="B77">
        <v>0.22800000000000001</v>
      </c>
      <c r="C77">
        <v>76</v>
      </c>
      <c r="D77">
        <v>-0.82750000000000001</v>
      </c>
      <c r="E77">
        <v>-0.5292</v>
      </c>
      <c r="F77">
        <v>0</v>
      </c>
      <c r="G77">
        <v>0.98230572999999999</v>
      </c>
      <c r="H77">
        <v>1</v>
      </c>
      <c r="I77">
        <v>0</v>
      </c>
      <c r="J77">
        <v>3.7105999999999999</v>
      </c>
      <c r="K77" s="3">
        <v>0</v>
      </c>
      <c r="L77" s="3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1</v>
      </c>
      <c r="B78">
        <v>0.23100000000000001</v>
      </c>
      <c r="C78">
        <v>77</v>
      </c>
      <c r="D78">
        <v>-0.8276</v>
      </c>
      <c r="E78">
        <v>-0.52929999999999999</v>
      </c>
      <c r="F78">
        <v>0</v>
      </c>
      <c r="G78">
        <v>0.98237163000000005</v>
      </c>
      <c r="H78">
        <v>1</v>
      </c>
      <c r="I78">
        <v>0</v>
      </c>
      <c r="J78">
        <v>3.7105999999999999</v>
      </c>
      <c r="K78" s="3">
        <v>0</v>
      </c>
      <c r="L78" s="3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1</v>
      </c>
      <c r="B79">
        <v>0.23400000000000001</v>
      </c>
      <c r="C79">
        <v>78</v>
      </c>
      <c r="D79">
        <v>-0.8276</v>
      </c>
      <c r="E79">
        <v>-0.52929999999999999</v>
      </c>
      <c r="F79">
        <v>0</v>
      </c>
      <c r="G79">
        <v>0.98237163000000005</v>
      </c>
      <c r="H79">
        <v>1</v>
      </c>
      <c r="I79">
        <v>0</v>
      </c>
      <c r="J79">
        <v>3.7105999999999999</v>
      </c>
      <c r="K79" s="3">
        <v>0</v>
      </c>
      <c r="L79" s="3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1</v>
      </c>
      <c r="B80">
        <v>0.23699999999999999</v>
      </c>
      <c r="C80">
        <v>79</v>
      </c>
      <c r="D80">
        <v>-0.8276</v>
      </c>
      <c r="E80">
        <v>-0.52929999999999999</v>
      </c>
      <c r="F80">
        <v>0</v>
      </c>
      <c r="G80">
        <v>0.98237163000000005</v>
      </c>
      <c r="H80">
        <v>1</v>
      </c>
      <c r="I80">
        <v>0</v>
      </c>
      <c r="J80">
        <v>3.7105999999999999</v>
      </c>
      <c r="K80" s="3">
        <v>0</v>
      </c>
      <c r="L80" s="3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>
        <v>1</v>
      </c>
      <c r="B81">
        <v>0.24</v>
      </c>
      <c r="C81">
        <v>80</v>
      </c>
      <c r="D81">
        <v>-0.8276</v>
      </c>
      <c r="E81">
        <v>-0.52929999999999999</v>
      </c>
      <c r="F81">
        <v>0</v>
      </c>
      <c r="G81">
        <v>0.98237163000000005</v>
      </c>
      <c r="H81">
        <v>1</v>
      </c>
      <c r="I81">
        <v>0</v>
      </c>
      <c r="J81">
        <v>3.7105999999999999</v>
      </c>
      <c r="K81" s="3">
        <v>0</v>
      </c>
      <c r="L81" s="3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1</v>
      </c>
      <c r="B82">
        <v>0.24299999999999999</v>
      </c>
      <c r="C82">
        <v>81</v>
      </c>
      <c r="D82">
        <v>-0.8276</v>
      </c>
      <c r="E82">
        <v>-0.52929999999999999</v>
      </c>
      <c r="F82">
        <v>0</v>
      </c>
      <c r="G82">
        <v>0.98237163000000005</v>
      </c>
      <c r="H82">
        <v>1</v>
      </c>
      <c r="I82">
        <v>0</v>
      </c>
      <c r="J82">
        <v>3.7105999999999999</v>
      </c>
      <c r="K82" s="3">
        <v>0</v>
      </c>
      <c r="L82" s="3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1</v>
      </c>
      <c r="B83">
        <v>0.246</v>
      </c>
      <c r="C83">
        <v>82</v>
      </c>
      <c r="D83">
        <v>-0.8276</v>
      </c>
      <c r="E83">
        <v>-0.52929999999999999</v>
      </c>
      <c r="F83">
        <v>0</v>
      </c>
      <c r="G83">
        <v>0.98237163000000005</v>
      </c>
      <c r="H83">
        <v>1</v>
      </c>
      <c r="I83">
        <v>0</v>
      </c>
      <c r="J83">
        <v>3.7105999999999999</v>
      </c>
      <c r="K83" s="3">
        <v>0</v>
      </c>
      <c r="L83" s="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1</v>
      </c>
      <c r="B84">
        <v>0.249</v>
      </c>
      <c r="C84">
        <v>83</v>
      </c>
      <c r="D84">
        <v>-0.8276</v>
      </c>
      <c r="E84">
        <v>-0.52929999999999999</v>
      </c>
      <c r="F84">
        <v>0</v>
      </c>
      <c r="G84">
        <v>0.98237163000000005</v>
      </c>
      <c r="H84">
        <v>1</v>
      </c>
      <c r="I84">
        <v>0</v>
      </c>
      <c r="J84">
        <v>3.7105999999999999</v>
      </c>
      <c r="K84" s="3">
        <v>0</v>
      </c>
      <c r="L84" s="3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1</v>
      </c>
      <c r="B85">
        <v>0.252</v>
      </c>
      <c r="C85">
        <v>84</v>
      </c>
      <c r="D85">
        <v>-0.8276</v>
      </c>
      <c r="E85">
        <v>-0.52929999999999999</v>
      </c>
      <c r="F85">
        <v>0</v>
      </c>
      <c r="G85">
        <v>0.98237163000000005</v>
      </c>
      <c r="H85">
        <v>1</v>
      </c>
      <c r="I85">
        <v>0</v>
      </c>
      <c r="J85">
        <v>3.7105999999999999</v>
      </c>
      <c r="K85" s="3">
        <v>0</v>
      </c>
      <c r="L85" s="3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1</v>
      </c>
      <c r="B86">
        <v>0.255</v>
      </c>
      <c r="C86">
        <v>85</v>
      </c>
      <c r="D86">
        <v>-0.8276</v>
      </c>
      <c r="E86">
        <v>-0.52929999999999999</v>
      </c>
      <c r="F86">
        <v>0</v>
      </c>
      <c r="G86">
        <v>0.98237163000000005</v>
      </c>
      <c r="H86">
        <v>1</v>
      </c>
      <c r="I86">
        <v>0</v>
      </c>
      <c r="J86">
        <v>3.7105999999999999</v>
      </c>
      <c r="K86" s="3">
        <v>0</v>
      </c>
      <c r="L86" s="3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1</v>
      </c>
      <c r="B87">
        <v>0.25800000000000001</v>
      </c>
      <c r="C87">
        <v>86</v>
      </c>
      <c r="D87">
        <v>-0.8276</v>
      </c>
      <c r="E87">
        <v>-0.52929999999999999</v>
      </c>
      <c r="F87">
        <v>0</v>
      </c>
      <c r="G87">
        <v>0.98237163000000005</v>
      </c>
      <c r="H87">
        <v>1</v>
      </c>
      <c r="I87">
        <v>0</v>
      </c>
      <c r="J87">
        <v>3.7105999999999999</v>
      </c>
      <c r="K87" s="3">
        <v>0</v>
      </c>
      <c r="L87" s="3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1</v>
      </c>
      <c r="B88">
        <v>0.26100000000000001</v>
      </c>
      <c r="C88">
        <v>87</v>
      </c>
      <c r="D88">
        <v>-0.8276</v>
      </c>
      <c r="E88">
        <v>-0.52929999999999999</v>
      </c>
      <c r="F88">
        <v>0</v>
      </c>
      <c r="G88">
        <v>0.98237163000000005</v>
      </c>
      <c r="H88">
        <v>1</v>
      </c>
      <c r="I88">
        <v>0</v>
      </c>
      <c r="J88">
        <v>3.7105999999999999</v>
      </c>
      <c r="K88" s="3">
        <v>0</v>
      </c>
      <c r="L88" s="3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1</v>
      </c>
      <c r="B89">
        <v>0.26400000000000001</v>
      </c>
      <c r="C89">
        <v>88</v>
      </c>
      <c r="D89">
        <v>-0.8276</v>
      </c>
      <c r="E89">
        <v>-0.52929999999999999</v>
      </c>
      <c r="F89">
        <v>0</v>
      </c>
      <c r="G89">
        <v>0.98237163000000005</v>
      </c>
      <c r="H89">
        <v>1</v>
      </c>
      <c r="I89">
        <v>0</v>
      </c>
      <c r="J89">
        <v>3.7105999999999999</v>
      </c>
      <c r="K89" s="3">
        <v>0</v>
      </c>
      <c r="L89" s="3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1</v>
      </c>
      <c r="B90">
        <v>0.26700000000000002</v>
      </c>
      <c r="C90">
        <v>89</v>
      </c>
      <c r="D90">
        <v>-0.8276</v>
      </c>
      <c r="E90">
        <v>-0.52929999999999999</v>
      </c>
      <c r="F90">
        <v>0</v>
      </c>
      <c r="G90">
        <v>0.98237163000000005</v>
      </c>
      <c r="H90">
        <v>1</v>
      </c>
      <c r="I90">
        <v>0</v>
      </c>
      <c r="J90">
        <v>3.7105999999999999</v>
      </c>
      <c r="K90" s="3">
        <v>0</v>
      </c>
      <c r="L90" s="3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1</v>
      </c>
      <c r="B91">
        <v>0.27</v>
      </c>
      <c r="C91">
        <v>90</v>
      </c>
      <c r="D91">
        <v>-0.8276</v>
      </c>
      <c r="E91">
        <v>-0.52929999999999999</v>
      </c>
      <c r="F91">
        <v>0</v>
      </c>
      <c r="G91">
        <v>0.98237163000000005</v>
      </c>
      <c r="H91">
        <v>1</v>
      </c>
      <c r="I91">
        <v>0</v>
      </c>
      <c r="J91">
        <v>3.7105999999999999</v>
      </c>
      <c r="K91" s="3">
        <v>0</v>
      </c>
      <c r="L91" s="3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1</v>
      </c>
      <c r="B92">
        <v>0.27300000000000002</v>
      </c>
      <c r="C92">
        <v>91</v>
      </c>
      <c r="D92">
        <v>-0.8276</v>
      </c>
      <c r="E92">
        <v>-0.52929999999999999</v>
      </c>
      <c r="F92">
        <v>0</v>
      </c>
      <c r="G92">
        <v>0.98237163000000005</v>
      </c>
      <c r="H92">
        <v>1</v>
      </c>
      <c r="I92">
        <v>0</v>
      </c>
      <c r="J92">
        <v>3.7105999999999999</v>
      </c>
      <c r="K92" s="3">
        <v>0</v>
      </c>
      <c r="L92" s="3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1</v>
      </c>
      <c r="B93">
        <v>0.27600000000000002</v>
      </c>
      <c r="C93">
        <v>92</v>
      </c>
      <c r="D93">
        <v>-0.8276</v>
      </c>
      <c r="E93">
        <v>-0.52929999999999999</v>
      </c>
      <c r="F93">
        <v>0</v>
      </c>
      <c r="G93">
        <v>0.98237163000000005</v>
      </c>
      <c r="H93">
        <v>1</v>
      </c>
      <c r="I93">
        <v>0</v>
      </c>
      <c r="J93">
        <v>3.7105999999999999</v>
      </c>
      <c r="K93" s="3">
        <v>0</v>
      </c>
      <c r="L93" s="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1</v>
      </c>
      <c r="B94">
        <v>0.27900000000000003</v>
      </c>
      <c r="C94">
        <v>93</v>
      </c>
      <c r="D94">
        <v>-0.8276</v>
      </c>
      <c r="E94">
        <v>-0.52929999999999999</v>
      </c>
      <c r="F94">
        <v>0</v>
      </c>
      <c r="G94">
        <v>0.98237163000000005</v>
      </c>
      <c r="H94">
        <v>1</v>
      </c>
      <c r="I94">
        <v>0</v>
      </c>
      <c r="J94">
        <v>3.7105999999999999</v>
      </c>
      <c r="K94" s="3">
        <v>0</v>
      </c>
      <c r="L94" s="3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1</v>
      </c>
      <c r="B95">
        <v>0.28199999999999997</v>
      </c>
      <c r="C95">
        <v>94</v>
      </c>
      <c r="D95">
        <v>-0.8276</v>
      </c>
      <c r="E95">
        <v>-0.52929999999999999</v>
      </c>
      <c r="F95">
        <v>0</v>
      </c>
      <c r="G95">
        <v>0.98237163000000005</v>
      </c>
      <c r="H95">
        <v>1</v>
      </c>
      <c r="I95">
        <v>0</v>
      </c>
      <c r="J95">
        <v>3.7105999999999999</v>
      </c>
      <c r="K95" s="3">
        <v>0</v>
      </c>
      <c r="L95" s="3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1</v>
      </c>
      <c r="B96">
        <v>0.28499999999999998</v>
      </c>
      <c r="C96">
        <v>95</v>
      </c>
      <c r="D96">
        <v>-0.8276</v>
      </c>
      <c r="E96">
        <v>-0.52929999999999999</v>
      </c>
      <c r="F96">
        <v>0</v>
      </c>
      <c r="G96">
        <v>0.98237163000000005</v>
      </c>
      <c r="H96">
        <v>1</v>
      </c>
      <c r="I96">
        <v>0</v>
      </c>
      <c r="J96">
        <v>3.7105999999999999</v>
      </c>
      <c r="K96" s="3">
        <v>0</v>
      </c>
      <c r="L96" s="3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1</v>
      </c>
      <c r="B97">
        <v>0.28799999999999998</v>
      </c>
      <c r="C97">
        <v>96</v>
      </c>
      <c r="D97">
        <v>-0.8276</v>
      </c>
      <c r="E97">
        <v>-0.52929999999999999</v>
      </c>
      <c r="F97">
        <v>0</v>
      </c>
      <c r="G97">
        <v>0.98237163000000005</v>
      </c>
      <c r="H97">
        <v>1</v>
      </c>
      <c r="I97">
        <v>0</v>
      </c>
      <c r="J97">
        <v>3.7105999999999999</v>
      </c>
      <c r="K97" s="3">
        <v>0</v>
      </c>
      <c r="L97" s="3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1</v>
      </c>
      <c r="B98">
        <v>0.29099999999999998</v>
      </c>
      <c r="C98">
        <v>97</v>
      </c>
      <c r="D98">
        <v>-0.8276</v>
      </c>
      <c r="E98">
        <v>-0.52929999999999999</v>
      </c>
      <c r="F98">
        <v>0</v>
      </c>
      <c r="G98">
        <v>0.98237163000000005</v>
      </c>
      <c r="H98">
        <v>1</v>
      </c>
      <c r="I98">
        <v>0</v>
      </c>
      <c r="J98">
        <v>3.7105999999999999</v>
      </c>
      <c r="K98" s="3">
        <v>0</v>
      </c>
      <c r="L98" s="3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1</v>
      </c>
      <c r="B99">
        <v>0.29399999999999998</v>
      </c>
      <c r="C99">
        <v>98</v>
      </c>
      <c r="D99">
        <v>-0.8276</v>
      </c>
      <c r="E99">
        <v>-0.52929999999999999</v>
      </c>
      <c r="F99">
        <v>0</v>
      </c>
      <c r="G99">
        <v>0.98237163000000005</v>
      </c>
      <c r="H99">
        <v>1</v>
      </c>
      <c r="I99">
        <v>0</v>
      </c>
      <c r="J99">
        <v>3.7105999999999999</v>
      </c>
      <c r="K99" s="3">
        <v>0</v>
      </c>
      <c r="L99" s="3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6F4C-2B77-42CC-987B-CB64B855A8DD}">
  <dimension ref="A1:K215"/>
  <sheetViews>
    <sheetView tabSelected="1" zoomScale="130" zoomScaleNormal="130" workbookViewId="0">
      <selection activeCell="C7" sqref="C7"/>
    </sheetView>
  </sheetViews>
  <sheetFormatPr defaultRowHeight="15" x14ac:dyDescent="0.25"/>
  <cols>
    <col min="1" max="1" width="33.140625" customWidth="1"/>
    <col min="2" max="2" width="21.7109375" style="3" customWidth="1"/>
    <col min="3" max="3" width="12.85546875" style="3" bestFit="1" customWidth="1"/>
    <col min="4" max="4" width="16" style="3" customWidth="1"/>
    <col min="5" max="5" width="11.28515625" style="3" bestFit="1" customWidth="1"/>
    <col min="8" max="8" width="15.28515625" customWidth="1"/>
    <col min="9" max="9" width="12.140625" style="3" bestFit="1" customWidth="1"/>
    <col min="10" max="10" width="12.7109375" bestFit="1" customWidth="1"/>
  </cols>
  <sheetData>
    <row r="1" spans="1:11" x14ac:dyDescent="0.25">
      <c r="A1" t="s">
        <v>34</v>
      </c>
      <c r="B1" s="3">
        <f>PI()*0.25^2</f>
        <v>0.19634954084936207</v>
      </c>
      <c r="H1" t="s">
        <v>35</v>
      </c>
      <c r="J1" t="s">
        <v>36</v>
      </c>
    </row>
    <row r="2" spans="1:11" x14ac:dyDescent="0.25">
      <c r="A2" s="1"/>
      <c r="B2" s="4">
        <v>1</v>
      </c>
      <c r="C2" s="4">
        <v>2</v>
      </c>
      <c r="D2" s="4"/>
      <c r="E2" s="4"/>
      <c r="H2">
        <f>TwoParticleOffset0!L22</f>
        <v>-9.7024699999999995E-3</v>
      </c>
      <c r="J2">
        <f>TwoParticleOffset1!R20</f>
        <v>-2.0619999999999999E-5</v>
      </c>
    </row>
    <row r="3" spans="1:11" x14ac:dyDescent="0.25">
      <c r="A3" s="1" t="s">
        <v>12</v>
      </c>
      <c r="B3" s="4">
        <f>TwoParticleOffset0!G19</f>
        <v>0.95131487999999997</v>
      </c>
      <c r="C3" s="4">
        <f>TwoParticleOffset1!G20</f>
        <v>1</v>
      </c>
      <c r="D3" s="4">
        <f>SUM(B3:C3)</f>
        <v>1.95131488</v>
      </c>
      <c r="E3" s="4"/>
      <c r="H3">
        <f>TwoParticleOffset0!L23</f>
        <v>-9.8319400000000008E-3</v>
      </c>
      <c r="I3" s="3">
        <f>H2-H3</f>
        <v>1.2947000000000132E-4</v>
      </c>
      <c r="J3">
        <f>TwoParticleOffset1!R21</f>
        <v>-1.6684E-4</v>
      </c>
      <c r="K3">
        <f>J2-J3</f>
        <v>1.4621999999999999E-4</v>
      </c>
    </row>
    <row r="4" spans="1:11" x14ac:dyDescent="0.25">
      <c r="A4" s="1" t="s">
        <v>13</v>
      </c>
      <c r="B4" s="4">
        <f>TwoParticleOffset0!G78</f>
        <v>0.96965736000000002</v>
      </c>
      <c r="C4" s="4">
        <f>TwoParticleOffset1!G78</f>
        <v>0.98237163000000005</v>
      </c>
      <c r="D4" s="4">
        <f>SUM(B4:C4)</f>
        <v>1.9520289900000001</v>
      </c>
      <c r="E4" s="4"/>
      <c r="H4">
        <f>TwoParticleOffset0!L24</f>
        <v>-9.9619300000000008E-3</v>
      </c>
      <c r="I4" s="3">
        <f t="shared" ref="I4:I59" si="0">H3-H4</f>
        <v>1.2998999999999997E-4</v>
      </c>
      <c r="J4">
        <f>TwoParticleOffset1!R22</f>
        <v>-2.4946000000000001E-4</v>
      </c>
      <c r="K4">
        <f t="shared" ref="K4:K59" si="1">J3-J4</f>
        <v>8.2620000000000019E-5</v>
      </c>
    </row>
    <row r="5" spans="1:11" x14ac:dyDescent="0.25">
      <c r="A5" s="5" t="s">
        <v>15</v>
      </c>
      <c r="B5" s="6">
        <f>B4-B3</f>
        <v>1.834248000000005E-2</v>
      </c>
      <c r="C5" s="6">
        <f t="shared" ref="C5" si="2">C4-C3</f>
        <v>-1.7628369999999949E-2</v>
      </c>
      <c r="D5" s="6">
        <f>D4-D3</f>
        <v>7.1411000000010105E-4</v>
      </c>
      <c r="E5" s="6">
        <f>D5/2</f>
        <v>3.5705500000005053E-4</v>
      </c>
      <c r="H5">
        <f>TwoParticleOffset0!L25</f>
        <v>-1.0092210000000001E-2</v>
      </c>
      <c r="I5" s="3">
        <f t="shared" si="0"/>
        <v>1.3027999999999998E-4</v>
      </c>
      <c r="J5">
        <f>TwoParticleOffset1!R23</f>
        <v>-3.0516000000000001E-4</v>
      </c>
      <c r="K5">
        <f t="shared" si="1"/>
        <v>5.5699999999999999E-5</v>
      </c>
    </row>
    <row r="6" spans="1:11" x14ac:dyDescent="0.25">
      <c r="A6" s="1" t="s">
        <v>14</v>
      </c>
      <c r="B6" s="4"/>
      <c r="C6" s="4"/>
      <c r="D6" s="4"/>
      <c r="E6" s="4"/>
      <c r="H6">
        <f>TwoParticleOffset0!L26</f>
        <v>-1.0222520000000001E-2</v>
      </c>
      <c r="I6" s="3">
        <f t="shared" si="0"/>
        <v>1.303099999999998E-4</v>
      </c>
      <c r="J6">
        <f>TwoParticleOffset1!R24</f>
        <v>-3.4743000000000003E-4</v>
      </c>
      <c r="K6">
        <f t="shared" si="1"/>
        <v>4.2270000000000014E-5</v>
      </c>
    </row>
    <row r="7" spans="1:11" x14ac:dyDescent="0.25">
      <c r="A7" s="1" t="s">
        <v>42</v>
      </c>
      <c r="B7" s="4">
        <f>TwoParticleOffset0!AA76</f>
        <v>0.96951118000000003</v>
      </c>
      <c r="C7" s="4">
        <f>TwoParticleOffset1!AA76</f>
        <v>0.98223983999999998</v>
      </c>
      <c r="D7" s="4">
        <f>B7+C7</f>
        <v>1.9517510200000001</v>
      </c>
      <c r="E7" s="4"/>
    </row>
    <row r="8" spans="1:11" x14ac:dyDescent="0.25">
      <c r="A8" s="1" t="s">
        <v>43</v>
      </c>
      <c r="B8" s="4">
        <f>B4-B7</f>
        <v>1.4617999999999576E-4</v>
      </c>
      <c r="C8" s="4">
        <f>C4-C7</f>
        <v>1.3179000000007601E-4</v>
      </c>
      <c r="D8" s="4">
        <f>B8+C8</f>
        <v>2.7797000000007177E-4</v>
      </c>
      <c r="E8" s="4"/>
    </row>
    <row r="9" spans="1:11" x14ac:dyDescent="0.25">
      <c r="A9" s="1"/>
      <c r="B9" s="4"/>
      <c r="C9" s="4"/>
      <c r="D9" s="4"/>
      <c r="E9" s="4"/>
    </row>
    <row r="10" spans="1:11" x14ac:dyDescent="0.25">
      <c r="A10" s="1" t="s">
        <v>17</v>
      </c>
      <c r="B10" s="4">
        <f>PI()*0.25^2</f>
        <v>0.19634954084936207</v>
      </c>
      <c r="C10" s="4"/>
      <c r="D10" s="4"/>
      <c r="E10" s="4"/>
      <c r="H10">
        <f>TwoParticleOffset0!L27</f>
        <v>-1.035254E-2</v>
      </c>
      <c r="I10" s="3">
        <f>H6-H10</f>
        <v>1.3001999999999979E-4</v>
      </c>
      <c r="J10">
        <f>TwoParticleOffset1!R25</f>
        <v>-3.8059999999999998E-4</v>
      </c>
      <c r="K10">
        <f>J6-J10</f>
        <v>3.3169999999999955E-5</v>
      </c>
    </row>
    <row r="11" spans="1:11" x14ac:dyDescent="0.25">
      <c r="A11" s="1" t="s">
        <v>21</v>
      </c>
      <c r="B11" s="4">
        <f>SUM(TwoParticleOffset0!M20:M49)</f>
        <v>-0.12309999999999999</v>
      </c>
      <c r="C11" s="4">
        <f>SUM(TwoParticleOffset1!M20:M49)</f>
        <v>0.12309999999999999</v>
      </c>
      <c r="D11" s="4">
        <f>SUM(B11:C11)</f>
        <v>0</v>
      </c>
      <c r="E11" s="4">
        <f>D11-B10</f>
        <v>-0.19634954084936207</v>
      </c>
      <c r="H11">
        <f>TwoParticleOffset0!L28</f>
        <v>-1.048194E-2</v>
      </c>
      <c r="I11" s="3">
        <f t="shared" si="0"/>
        <v>1.294E-4</v>
      </c>
      <c r="J11">
        <f>TwoParticleOffset1!R26</f>
        <v>-4.0669000000000002E-4</v>
      </c>
      <c r="K11">
        <f t="shared" si="1"/>
        <v>2.6090000000000043E-5</v>
      </c>
    </row>
    <row r="12" spans="1:11" x14ac:dyDescent="0.25">
      <c r="A12" s="1" t="s">
        <v>20</v>
      </c>
      <c r="B12" s="4">
        <f>SUM(TwoParticleOffset0!N19:N49)</f>
        <v>0.2777</v>
      </c>
      <c r="C12" s="4">
        <f>SUM(TwoParticleOffset1!N20:N49)</f>
        <v>-0.2777</v>
      </c>
      <c r="D12" s="4">
        <f>SUM(B12:C12)</f>
        <v>0</v>
      </c>
      <c r="E12" s="4"/>
      <c r="H12">
        <f>TwoParticleOffset0!L29</f>
        <v>-1.0610339999999999E-2</v>
      </c>
      <c r="I12" s="3">
        <f t="shared" si="0"/>
        <v>1.28399999999999E-4</v>
      </c>
      <c r="J12">
        <f>TwoParticleOffset1!R27</f>
        <v>-4.2684999999999999E-4</v>
      </c>
      <c r="K12">
        <f t="shared" si="1"/>
        <v>2.015999999999997E-5</v>
      </c>
    </row>
    <row r="13" spans="1:11" x14ac:dyDescent="0.25">
      <c r="A13" s="1" t="s">
        <v>18</v>
      </c>
      <c r="B13" s="4">
        <f>B10/B3</f>
        <v>0.20639805492095536</v>
      </c>
      <c r="C13" s="4">
        <f>B10/C3</f>
        <v>0.19634954084936207</v>
      </c>
      <c r="D13" s="4"/>
      <c r="E13" s="4"/>
      <c r="H13">
        <f>TwoParticleOffset0!L30</f>
        <v>-1.073734E-2</v>
      </c>
      <c r="I13" s="3">
        <f t="shared" si="0"/>
        <v>1.2700000000000038E-4</v>
      </c>
      <c r="J13">
        <f>TwoParticleOffset1!R28</f>
        <v>-4.4179000000000001E-4</v>
      </c>
      <c r="K13">
        <f t="shared" si="1"/>
        <v>1.4940000000000016E-5</v>
      </c>
    </row>
    <row r="14" spans="1:11" x14ac:dyDescent="0.25">
      <c r="A14" s="1" t="s">
        <v>19</v>
      </c>
      <c r="B14" s="4">
        <f>B13*B12</f>
        <v>5.7316739851549309E-2</v>
      </c>
      <c r="C14" s="4">
        <f>C13*C12</f>
        <v>-5.4526267493867846E-2</v>
      </c>
      <c r="D14" s="4"/>
      <c r="E14" s="4"/>
      <c r="H14">
        <f>TwoParticleOffset0!L31</f>
        <v>-1.0862510000000001E-2</v>
      </c>
      <c r="I14" s="3">
        <f t="shared" si="0"/>
        <v>1.2517000000000084E-4</v>
      </c>
      <c r="J14">
        <f>TwoParticleOffset1!R29</f>
        <v>-4.5196E-4</v>
      </c>
      <c r="K14">
        <f t="shared" si="1"/>
        <v>1.0169999999999992E-5</v>
      </c>
    </row>
    <row r="15" spans="1:11" x14ac:dyDescent="0.25">
      <c r="A15" s="2" t="s">
        <v>7</v>
      </c>
      <c r="B15" s="3">
        <f>TwoParticleOffset0!H49</f>
        <v>0.95131487999999997</v>
      </c>
      <c r="C15" s="3">
        <f>TwoParticleOffset1!H49</f>
        <v>1</v>
      </c>
      <c r="D15" s="3">
        <f>SUM(B15:C15)</f>
        <v>1.95131488</v>
      </c>
      <c r="H15">
        <f>TwoParticleOffset0!L32</f>
        <v>-1.0985379999999999E-2</v>
      </c>
      <c r="I15" s="3">
        <f t="shared" si="0"/>
        <v>1.2286999999999888E-4</v>
      </c>
      <c r="J15">
        <f>TwoParticleOffset1!R30</f>
        <v>-4.5770000000000001E-4</v>
      </c>
      <c r="K15">
        <f t="shared" si="1"/>
        <v>5.7400000000000094E-6</v>
      </c>
    </row>
    <row r="16" spans="1:11" x14ac:dyDescent="0.25">
      <c r="H16">
        <f>TwoParticleOffset0!L33</f>
        <v>-1.1105490000000001E-2</v>
      </c>
      <c r="I16" s="3">
        <f t="shared" si="0"/>
        <v>1.201100000000014E-4</v>
      </c>
      <c r="J16">
        <f>TwoParticleOffset1!R31</f>
        <v>-4.5925000000000002E-4</v>
      </c>
      <c r="K16">
        <f t="shared" si="1"/>
        <v>1.5500000000000106E-6</v>
      </c>
    </row>
    <row r="17" spans="1:11" x14ac:dyDescent="0.25">
      <c r="A17" t="s">
        <v>32</v>
      </c>
      <c r="B17" s="3">
        <f>SUM(TwoParticleOffset0!L22:L76)</f>
        <v>-0.62059864999999992</v>
      </c>
      <c r="H17">
        <f>TwoParticleOffset0!L34</f>
        <v>-1.1222319999999999E-2</v>
      </c>
      <c r="I17" s="3">
        <f t="shared" si="0"/>
        <v>1.1682999999999832E-4</v>
      </c>
      <c r="J17">
        <f>TwoParticleOffset1!R32</f>
        <v>-4.5682999999999997E-4</v>
      </c>
      <c r="K17">
        <f t="shared" si="1"/>
        <v>-2.420000000000048E-6</v>
      </c>
    </row>
    <row r="18" spans="1:11" x14ac:dyDescent="0.25">
      <c r="A18" t="s">
        <v>37</v>
      </c>
      <c r="B18" s="3">
        <f>SUM(I3:I59)</f>
        <v>1.7188000000000099E-4</v>
      </c>
      <c r="C18" s="3">
        <f>SUM(K3:K60)</f>
        <v>-3.4078E-4</v>
      </c>
      <c r="D18" s="3">
        <f>B18+C18</f>
        <v>-1.6889999999999901E-4</v>
      </c>
      <c r="H18">
        <f>TwoParticleOffset0!L35</f>
        <v>-1.1335370000000001E-2</v>
      </c>
      <c r="I18" s="3">
        <f t="shared" si="0"/>
        <v>1.1305000000000169E-4</v>
      </c>
      <c r="J18">
        <f>TwoParticleOffset1!R33</f>
        <v>-4.506E-4</v>
      </c>
      <c r="K18">
        <f t="shared" si="1"/>
        <v>-6.2299999999999725E-6</v>
      </c>
    </row>
    <row r="19" spans="1:11" x14ac:dyDescent="0.25">
      <c r="A19" t="s">
        <v>38</v>
      </c>
      <c r="B19" s="3">
        <f>D3*B18</f>
        <v>3.3539200157440191E-4</v>
      </c>
      <c r="C19" s="3">
        <f>D3*C18</f>
        <v>-6.6496908480640003E-4</v>
      </c>
      <c r="D19" s="3">
        <f>B19+C19</f>
        <v>-3.2957708323199812E-4</v>
      </c>
      <c r="H19">
        <f>TwoParticleOffset0!L36</f>
        <v>-1.144411E-2</v>
      </c>
      <c r="I19" s="3">
        <f t="shared" si="0"/>
        <v>1.0873999999999953E-4</v>
      </c>
      <c r="J19">
        <f>TwoParticleOffset1!R34</f>
        <v>-4.4074000000000001E-4</v>
      </c>
      <c r="K19">
        <f t="shared" si="1"/>
        <v>-9.8599999999999903E-6</v>
      </c>
    </row>
    <row r="20" spans="1:11" x14ac:dyDescent="0.25">
      <c r="H20">
        <f>TwoParticleOffset0!L37</f>
        <v>-1.1548009999999999E-2</v>
      </c>
      <c r="I20" s="3">
        <f t="shared" si="0"/>
        <v>1.0389999999999878E-4</v>
      </c>
      <c r="J20">
        <f>TwoParticleOffset1!R35</f>
        <v>-4.2739999999999998E-4</v>
      </c>
      <c r="K20">
        <f t="shared" si="1"/>
        <v>-1.3340000000000032E-5</v>
      </c>
    </row>
    <row r="21" spans="1:11" x14ac:dyDescent="0.25">
      <c r="H21">
        <f>TwoParticleOffset0!L38</f>
        <v>-1.164656E-2</v>
      </c>
      <c r="I21" s="3">
        <f t="shared" si="0"/>
        <v>9.8550000000001067E-5</v>
      </c>
      <c r="J21">
        <f>TwoParticleOffset1!R36</f>
        <v>-4.1073999999999999E-4</v>
      </c>
      <c r="K21">
        <f t="shared" si="1"/>
        <v>-1.6659999999999993E-5</v>
      </c>
    </row>
    <row r="22" spans="1:11" x14ac:dyDescent="0.25">
      <c r="H22">
        <f>TwoParticleOffset0!L39</f>
        <v>-1.173922E-2</v>
      </c>
      <c r="I22" s="3">
        <f t="shared" si="0"/>
        <v>9.2659999999999618E-5</v>
      </c>
      <c r="J22">
        <f>TwoParticleOffset1!R37</f>
        <v>-3.9093999999999999E-4</v>
      </c>
      <c r="K22">
        <f t="shared" si="1"/>
        <v>-1.9799999999999993E-5</v>
      </c>
    </row>
    <row r="23" spans="1:11" x14ac:dyDescent="0.25">
      <c r="H23">
        <f>TwoParticleOffset0!L40</f>
        <v>-1.1825499999999999E-2</v>
      </c>
      <c r="I23" s="3">
        <f t="shared" si="0"/>
        <v>8.6279999999999343E-5</v>
      </c>
      <c r="J23">
        <f>TwoParticleOffset1!R38</f>
        <v>-3.6818000000000002E-4</v>
      </c>
      <c r="K23">
        <f t="shared" si="1"/>
        <v>-2.2759999999999979E-5</v>
      </c>
    </row>
    <row r="24" spans="1:11" x14ac:dyDescent="0.25">
      <c r="H24">
        <f>TwoParticleOffset0!L41</f>
        <v>-1.190489E-2</v>
      </c>
      <c r="I24" s="3">
        <f t="shared" si="0"/>
        <v>7.9390000000000363E-5</v>
      </c>
      <c r="J24">
        <f>TwoParticleOffset1!R39</f>
        <v>-3.4265000000000001E-4</v>
      </c>
      <c r="K24">
        <f t="shared" si="1"/>
        <v>-2.5530000000000008E-5</v>
      </c>
    </row>
    <row r="25" spans="1:11" x14ac:dyDescent="0.25">
      <c r="H25">
        <f>TwoParticleOffset0!L42</f>
        <v>-1.197695E-2</v>
      </c>
      <c r="I25" s="3">
        <f t="shared" si="0"/>
        <v>7.2060000000000526E-5</v>
      </c>
      <c r="J25">
        <f>TwoParticleOffset1!R40</f>
        <v>-3.1456000000000002E-4</v>
      </c>
      <c r="K25">
        <f t="shared" si="1"/>
        <v>-2.8089999999999983E-5</v>
      </c>
    </row>
    <row r="26" spans="1:11" x14ac:dyDescent="0.25">
      <c r="H26">
        <f>TwoParticleOffset0!L43</f>
        <v>-1.204123E-2</v>
      </c>
      <c r="I26" s="3">
        <f t="shared" si="0"/>
        <v>6.4279999999999893E-5</v>
      </c>
      <c r="J26">
        <f>TwoParticleOffset1!R41</f>
        <v>-2.8412000000000001E-4</v>
      </c>
      <c r="K26">
        <f t="shared" si="1"/>
        <v>-3.0440000000000013E-5</v>
      </c>
    </row>
    <row r="27" spans="1:11" x14ac:dyDescent="0.25">
      <c r="H27">
        <f>TwoParticleOffset0!L44</f>
        <v>-1.209735E-2</v>
      </c>
      <c r="I27" s="3">
        <f t="shared" si="0"/>
        <v>5.6119999999999781E-5</v>
      </c>
      <c r="J27">
        <f>TwoParticleOffset1!R42</f>
        <v>-2.5157000000000001E-4</v>
      </c>
      <c r="K27">
        <f t="shared" si="1"/>
        <v>-3.2550000000000005E-5</v>
      </c>
    </row>
    <row r="28" spans="1:11" x14ac:dyDescent="0.25">
      <c r="H28">
        <f>TwoParticleOffset0!L45</f>
        <v>-1.214494E-2</v>
      </c>
      <c r="I28" s="3">
        <f t="shared" si="0"/>
        <v>4.7590000000000132E-5</v>
      </c>
      <c r="J28">
        <f>TwoParticleOffset1!R43</f>
        <v>-2.1715999999999999E-4</v>
      </c>
      <c r="K28">
        <f t="shared" si="1"/>
        <v>-3.4410000000000018E-5</v>
      </c>
    </row>
    <row r="29" spans="1:11" x14ac:dyDescent="0.25">
      <c r="H29">
        <f>TwoParticleOffset0!L46</f>
        <v>-1.218372E-2</v>
      </c>
      <c r="I29" s="3">
        <f t="shared" si="0"/>
        <v>3.8780000000000411E-5</v>
      </c>
      <c r="J29">
        <f>TwoParticleOffset1!R44</f>
        <v>-1.8113999999999999E-4</v>
      </c>
      <c r="K29">
        <f t="shared" si="1"/>
        <v>-3.6019999999999997E-5</v>
      </c>
    </row>
    <row r="30" spans="1:11" x14ac:dyDescent="0.25">
      <c r="H30">
        <f>TwoParticleOffset0!L47</f>
        <v>-1.2213419999999999E-2</v>
      </c>
      <c r="I30" s="3">
        <f t="shared" si="0"/>
        <v>2.9699999999998825E-5</v>
      </c>
      <c r="J30">
        <f>TwoParticleOffset1!R45</f>
        <v>-1.4376999999999999E-4</v>
      </c>
      <c r="K30">
        <f t="shared" si="1"/>
        <v>-3.7370000000000003E-5</v>
      </c>
    </row>
    <row r="31" spans="1:11" x14ac:dyDescent="0.25">
      <c r="H31">
        <f>TwoParticleOffset0!L48</f>
        <v>-1.2233849999999999E-2</v>
      </c>
      <c r="I31" s="3">
        <f t="shared" si="0"/>
        <v>2.0430000000000101E-5</v>
      </c>
      <c r="J31">
        <f>TwoParticleOffset1!R46</f>
        <v>-1.0535E-4</v>
      </c>
      <c r="K31">
        <f t="shared" si="1"/>
        <v>-3.8419999999999988E-5</v>
      </c>
    </row>
    <row r="32" spans="1:11" x14ac:dyDescent="0.25">
      <c r="H32">
        <f>TwoParticleOffset0!L49</f>
        <v>-1.224487E-2</v>
      </c>
      <c r="I32" s="3">
        <f t="shared" si="0"/>
        <v>1.1020000000000474E-5</v>
      </c>
      <c r="J32">
        <f>TwoParticleOffset1!R47</f>
        <v>-6.6149999999999995E-5</v>
      </c>
      <c r="K32">
        <f t="shared" si="1"/>
        <v>-3.9200000000000004E-5</v>
      </c>
    </row>
    <row r="33" spans="8:11" x14ac:dyDescent="0.25">
      <c r="H33">
        <f>TwoParticleOffset0!L50</f>
        <v>-1.2246419999999999E-2</v>
      </c>
      <c r="I33" s="3">
        <f t="shared" si="0"/>
        <v>1.5499999999994685E-6</v>
      </c>
      <c r="J33">
        <f>TwoParticleOffset1!R48</f>
        <v>-2.6449999999999999E-5</v>
      </c>
      <c r="K33">
        <f t="shared" si="1"/>
        <v>-3.9699999999999996E-5</v>
      </c>
    </row>
    <row r="34" spans="8:11" x14ac:dyDescent="0.25">
      <c r="H34">
        <f>TwoParticleOffset0!L51</f>
        <v>-1.2238489999999999E-2</v>
      </c>
      <c r="I34" s="3">
        <f t="shared" si="0"/>
        <v>-7.9299999999997428E-6</v>
      </c>
      <c r="J34">
        <f>TwoParticleOffset1!R49</f>
        <v>1.343E-5</v>
      </c>
      <c r="K34">
        <f t="shared" si="1"/>
        <v>-3.9879999999999998E-5</v>
      </c>
    </row>
    <row r="35" spans="8:11" x14ac:dyDescent="0.25">
      <c r="H35">
        <f>TwoParticleOffset0!L52</f>
        <v>-1.222112E-2</v>
      </c>
      <c r="I35" s="3">
        <f t="shared" si="0"/>
        <v>-1.7369999999999192E-5</v>
      </c>
      <c r="J35">
        <f>TwoParticleOffset1!R50</f>
        <v>5.3220000000000002E-5</v>
      </c>
      <c r="K35">
        <f t="shared" si="1"/>
        <v>-3.9790000000000004E-5</v>
      </c>
    </row>
    <row r="36" spans="8:11" x14ac:dyDescent="0.25">
      <c r="H36">
        <f>TwoParticleOffset0!L53</f>
        <v>-1.2194429999999999E-2</v>
      </c>
      <c r="I36" s="3">
        <f t="shared" si="0"/>
        <v>-2.6690000000001088E-5</v>
      </c>
      <c r="J36">
        <f>TwoParticleOffset1!R51</f>
        <v>9.2609999999999996E-5</v>
      </c>
      <c r="K36">
        <f t="shared" si="1"/>
        <v>-3.9389999999999994E-5</v>
      </c>
    </row>
    <row r="37" spans="8:11" x14ac:dyDescent="0.25">
      <c r="H37">
        <f>TwoParticleOffset0!L54</f>
        <v>-1.215859E-2</v>
      </c>
      <c r="I37" s="3">
        <f t="shared" si="0"/>
        <v>-3.5839999999998789E-5</v>
      </c>
      <c r="J37">
        <f>TwoParticleOffset1!R52</f>
        <v>1.3133E-4</v>
      </c>
      <c r="K37">
        <f t="shared" si="1"/>
        <v>-3.8720000000000009E-5</v>
      </c>
    </row>
    <row r="38" spans="8:11" x14ac:dyDescent="0.25">
      <c r="H38">
        <f>TwoParticleOffset0!L55</f>
        <v>-1.2113850000000001E-2</v>
      </c>
      <c r="I38" s="3">
        <f t="shared" si="0"/>
        <v>-4.4739999999999711E-5</v>
      </c>
      <c r="J38">
        <f>TwoParticleOffset1!R53</f>
        <v>1.6907000000000001E-4</v>
      </c>
      <c r="K38">
        <f t="shared" si="1"/>
        <v>-3.7740000000000001E-5</v>
      </c>
    </row>
    <row r="39" spans="8:11" x14ac:dyDescent="0.25">
      <c r="H39">
        <f>TwoParticleOffset0!L56</f>
        <v>-1.206048E-2</v>
      </c>
      <c r="I39" s="3">
        <f t="shared" si="0"/>
        <v>-5.33700000000005E-5</v>
      </c>
      <c r="J39">
        <f>TwoParticleOffset1!R54</f>
        <v>2.0555000000000001E-4</v>
      </c>
      <c r="K39">
        <f t="shared" si="1"/>
        <v>-3.6480000000000003E-5</v>
      </c>
    </row>
    <row r="40" spans="8:11" x14ac:dyDescent="0.25">
      <c r="H40">
        <f>TwoParticleOffset0!L57</f>
        <v>-1.199882E-2</v>
      </c>
      <c r="I40" s="3">
        <f t="shared" si="0"/>
        <v>-6.165999999999984E-5</v>
      </c>
      <c r="J40">
        <f>TwoParticleOffset1!R55</f>
        <v>2.4052000000000001E-4</v>
      </c>
      <c r="K40">
        <f t="shared" si="1"/>
        <v>-3.4969999999999999E-5</v>
      </c>
    </row>
    <row r="41" spans="8:11" x14ac:dyDescent="0.25">
      <c r="H41">
        <f>TwoParticleOffset0!L58</f>
        <v>-1.1929260000000001E-2</v>
      </c>
      <c r="I41" s="3">
        <f t="shared" si="0"/>
        <v>-6.9559999999999761E-5</v>
      </c>
      <c r="J41">
        <f>TwoParticleOffset1!R56</f>
        <v>2.7370999999999998E-4</v>
      </c>
      <c r="K41">
        <f t="shared" si="1"/>
        <v>-3.3189999999999972E-5</v>
      </c>
    </row>
    <row r="42" spans="8:11" x14ac:dyDescent="0.25">
      <c r="H42">
        <f>TwoParticleOffset0!L59</f>
        <v>-1.185221E-2</v>
      </c>
      <c r="I42" s="3">
        <f t="shared" si="0"/>
        <v>-7.7050000000000382E-5</v>
      </c>
      <c r="J42">
        <f>TwoParticleOffset1!R57</f>
        <v>3.0486000000000001E-4</v>
      </c>
      <c r="K42">
        <f t="shared" si="1"/>
        <v>-3.1150000000000025E-5</v>
      </c>
    </row>
    <row r="43" spans="8:11" x14ac:dyDescent="0.25">
      <c r="H43">
        <f>TwoParticleOffset0!L60</f>
        <v>-1.176813E-2</v>
      </c>
      <c r="I43" s="3">
        <f t="shared" si="0"/>
        <v>-8.4080000000000266E-5</v>
      </c>
      <c r="J43">
        <f>TwoParticleOffset1!R58</f>
        <v>3.3375000000000001E-4</v>
      </c>
      <c r="K43">
        <f t="shared" si="1"/>
        <v>-2.8890000000000003E-5</v>
      </c>
    </row>
    <row r="44" spans="8:11" x14ac:dyDescent="0.25">
      <c r="H44">
        <f>TwoParticleOffset0!L61</f>
        <v>-1.16775E-2</v>
      </c>
      <c r="I44" s="3">
        <f t="shared" si="0"/>
        <v>-9.062999999999953E-5</v>
      </c>
      <c r="J44">
        <f>TwoParticleOffset1!R59</f>
        <v>3.6014E-4</v>
      </c>
      <c r="K44">
        <f t="shared" si="1"/>
        <v>-2.6389999999999996E-5</v>
      </c>
    </row>
    <row r="45" spans="8:11" x14ac:dyDescent="0.25">
      <c r="H45">
        <f>TwoParticleOffset0!L62</f>
        <v>-1.158082E-2</v>
      </c>
      <c r="I45" s="3">
        <f t="shared" si="0"/>
        <v>-9.668000000000003E-5</v>
      </c>
      <c r="J45">
        <f>TwoParticleOffset1!R60</f>
        <v>3.8381999999999999E-4</v>
      </c>
      <c r="K45">
        <f t="shared" si="1"/>
        <v>-2.367999999999999E-5</v>
      </c>
    </row>
    <row r="46" spans="8:11" x14ac:dyDescent="0.25">
      <c r="H46">
        <f>TwoParticleOffset0!L63</f>
        <v>-1.147861E-2</v>
      </c>
      <c r="I46" s="3">
        <f t="shared" si="0"/>
        <v>-1.0221000000000015E-4</v>
      </c>
      <c r="J46">
        <f>TwoParticleOffset1!R61</f>
        <v>4.0461000000000002E-4</v>
      </c>
      <c r="K46">
        <f t="shared" si="1"/>
        <v>-2.0790000000000023E-5</v>
      </c>
    </row>
    <row r="47" spans="8:11" x14ac:dyDescent="0.25">
      <c r="H47">
        <f>TwoParticleOffset0!L64</f>
        <v>-1.137139E-2</v>
      </c>
      <c r="I47" s="3">
        <f t="shared" si="0"/>
        <v>-1.0721999999999988E-4</v>
      </c>
      <c r="J47">
        <f>TwoParticleOffset1!R62</f>
        <v>4.2231000000000001E-4</v>
      </c>
      <c r="K47">
        <f t="shared" si="1"/>
        <v>-1.7699999999999997E-5</v>
      </c>
    </row>
    <row r="48" spans="8:11" x14ac:dyDescent="0.25">
      <c r="H48">
        <f>TwoParticleOffset0!L65</f>
        <v>-1.1259689999999999E-2</v>
      </c>
      <c r="I48" s="3">
        <f t="shared" si="0"/>
        <v>-1.1170000000000103E-4</v>
      </c>
      <c r="J48">
        <f>TwoParticleOffset1!R63</f>
        <v>4.3676000000000001E-4</v>
      </c>
      <c r="K48">
        <f t="shared" si="1"/>
        <v>-1.4449999999999999E-5</v>
      </c>
    </row>
    <row r="49" spans="8:11" x14ac:dyDescent="0.25">
      <c r="H49">
        <f>TwoParticleOffset0!L66</f>
        <v>-1.1144039999999999E-2</v>
      </c>
      <c r="I49" s="3">
        <f t="shared" si="0"/>
        <v>-1.1565000000000013E-4</v>
      </c>
      <c r="J49">
        <f>TwoParticleOffset1!R64</f>
        <v>4.4777E-4</v>
      </c>
      <c r="K49">
        <f t="shared" si="1"/>
        <v>-1.1009999999999991E-5</v>
      </c>
    </row>
    <row r="50" spans="8:11" x14ac:dyDescent="0.25">
      <c r="H50">
        <f>TwoParticleOffset0!L67</f>
        <v>-1.102495E-2</v>
      </c>
      <c r="I50" s="3">
        <f t="shared" si="0"/>
        <v>-1.1908999999999878E-4</v>
      </c>
      <c r="J50">
        <f>TwoParticleOffset1!R65</f>
        <v>4.5521E-4</v>
      </c>
      <c r="K50">
        <f t="shared" si="1"/>
        <v>-7.4399999999999965E-6</v>
      </c>
    </row>
    <row r="51" spans="8:11" x14ac:dyDescent="0.25">
      <c r="H51">
        <f>TwoParticleOffset0!L68</f>
        <v>-1.090292E-2</v>
      </c>
      <c r="I51" s="3">
        <f t="shared" si="0"/>
        <v>-1.220300000000004E-4</v>
      </c>
      <c r="J51">
        <f>TwoParticleOffset1!R66</f>
        <v>4.5888999999999999E-4</v>
      </c>
      <c r="K51">
        <f t="shared" si="1"/>
        <v>-3.6799999999999919E-6</v>
      </c>
    </row>
    <row r="52" spans="8:11" x14ac:dyDescent="0.25">
      <c r="H52">
        <f>TwoParticleOffset0!L69</f>
        <v>-1.077845E-2</v>
      </c>
      <c r="I52" s="3">
        <f t="shared" si="0"/>
        <v>-1.2446999999999979E-4</v>
      </c>
      <c r="J52">
        <f>TwoParticleOffset1!R67</f>
        <v>4.5866E-4</v>
      </c>
      <c r="K52">
        <f t="shared" si="1"/>
        <v>2.2999999999998933E-7</v>
      </c>
    </row>
    <row r="53" spans="8:11" x14ac:dyDescent="0.25">
      <c r="H53">
        <f>TwoParticleOffset0!L70</f>
        <v>-1.0652E-2</v>
      </c>
      <c r="I53" s="3">
        <f t="shared" si="0"/>
        <v>-1.2645000000000017E-4</v>
      </c>
      <c r="J53">
        <f>TwoParticleOffset1!R68</f>
        <v>4.5430999999999998E-4</v>
      </c>
      <c r="K53">
        <f t="shared" si="1"/>
        <v>4.3500000000000244E-6</v>
      </c>
    </row>
    <row r="54" spans="8:11" x14ac:dyDescent="0.25">
      <c r="H54">
        <f>TwoParticleOffset0!L71</f>
        <v>-1.052401E-2</v>
      </c>
      <c r="I54" s="3">
        <f t="shared" si="0"/>
        <v>-1.279899999999997E-4</v>
      </c>
      <c r="J54">
        <f>TwoParticleOffset1!R69</f>
        <v>4.4561999999999998E-4</v>
      </c>
      <c r="K54">
        <f t="shared" si="1"/>
        <v>8.6899999999999998E-6</v>
      </c>
    </row>
    <row r="55" spans="8:11" x14ac:dyDescent="0.25">
      <c r="H55">
        <f>TwoParticleOffset0!L72</f>
        <v>-1.03949E-2</v>
      </c>
      <c r="I55" s="3">
        <f t="shared" si="0"/>
        <v>-1.2910999999999999E-4</v>
      </c>
      <c r="J55">
        <f>TwoParticleOffset1!R70</f>
        <v>4.3228E-4</v>
      </c>
      <c r="K55">
        <f t="shared" si="1"/>
        <v>1.3339999999999977E-5</v>
      </c>
    </row>
    <row r="56" spans="8:11" x14ac:dyDescent="0.25">
      <c r="H56">
        <f>TwoParticleOffset0!L73</f>
        <v>-1.026504E-2</v>
      </c>
      <c r="I56" s="3">
        <f t="shared" si="0"/>
        <v>-1.2986000000000074E-4</v>
      </c>
      <c r="J56">
        <f>TwoParticleOffset1!R71</f>
        <v>4.1388999999999998E-4</v>
      </c>
      <c r="K56">
        <f t="shared" si="1"/>
        <v>1.8390000000000019E-5</v>
      </c>
    </row>
    <row r="57" spans="8:11" x14ac:dyDescent="0.25">
      <c r="H57">
        <f>TwoParticleOffset0!L74</f>
        <v>-1.0134789999999999E-2</v>
      </c>
      <c r="I57" s="3">
        <f t="shared" si="0"/>
        <v>-1.3025000000000016E-4</v>
      </c>
      <c r="J57">
        <f>TwoParticleOffset1!R72</f>
        <v>3.8983000000000003E-4</v>
      </c>
      <c r="K57">
        <f t="shared" si="1"/>
        <v>2.4059999999999956E-5</v>
      </c>
    </row>
    <row r="58" spans="8:11" x14ac:dyDescent="0.25">
      <c r="H58">
        <f>TwoParticleOffset0!L75</f>
        <v>-1.000447E-2</v>
      </c>
      <c r="I58" s="3">
        <f t="shared" si="0"/>
        <v>-1.3031999999999974E-4</v>
      </c>
      <c r="J58">
        <f>TwoParticleOffset1!R73</f>
        <v>3.5913999999999998E-4</v>
      </c>
      <c r="K58">
        <f t="shared" si="1"/>
        <v>3.0690000000000047E-5</v>
      </c>
    </row>
    <row r="59" spans="8:11" x14ac:dyDescent="0.25">
      <c r="H59">
        <f>TwoParticleOffset0!L76</f>
        <v>-9.8743500000000005E-3</v>
      </c>
      <c r="I59" s="3">
        <f t="shared" si="0"/>
        <v>-1.3011999999999919E-4</v>
      </c>
      <c r="J59">
        <f>TwoParticleOffset1!R74</f>
        <v>3.2016E-4</v>
      </c>
      <c r="K59">
        <f t="shared" si="1"/>
        <v>3.8979999999999983E-5</v>
      </c>
    </row>
    <row r="60" spans="8:11" x14ac:dyDescent="0.25">
      <c r="H60">
        <f>TwoParticleOffset0!L77</f>
        <v>0</v>
      </c>
    </row>
    <row r="61" spans="8:11" x14ac:dyDescent="0.25">
      <c r="H61">
        <f>TwoParticleOffset0!L78</f>
        <v>0</v>
      </c>
    </row>
    <row r="62" spans="8:11" x14ac:dyDescent="0.25">
      <c r="H62">
        <f>TwoParticleOffset0!L79</f>
        <v>0</v>
      </c>
    </row>
    <row r="63" spans="8:11" x14ac:dyDescent="0.25">
      <c r="H63">
        <f>TwoParticleOffset0!L80</f>
        <v>0</v>
      </c>
    </row>
    <row r="64" spans="8:11" x14ac:dyDescent="0.25">
      <c r="H64">
        <f>TwoParticleOffset0!L81</f>
        <v>0</v>
      </c>
    </row>
    <row r="65" spans="8:8" x14ac:dyDescent="0.25">
      <c r="H65" t="e">
        <f>TwoParticleOffset0!#REF!</f>
        <v>#REF!</v>
      </c>
    </row>
    <row r="66" spans="8:8" x14ac:dyDescent="0.25">
      <c r="H66">
        <f>TwoParticleOffset0!L99</f>
        <v>0</v>
      </c>
    </row>
    <row r="67" spans="8:8" x14ac:dyDescent="0.25">
      <c r="H67">
        <f>TwoParticleOffset0!L100</f>
        <v>0</v>
      </c>
    </row>
    <row r="68" spans="8:8" x14ac:dyDescent="0.25">
      <c r="H68">
        <f>TwoParticleOffset0!L101</f>
        <v>0</v>
      </c>
    </row>
    <row r="69" spans="8:8" x14ac:dyDescent="0.25">
      <c r="H69">
        <f>TwoParticleOffset0!L102</f>
        <v>0</v>
      </c>
    </row>
    <row r="70" spans="8:8" x14ac:dyDescent="0.25">
      <c r="H70">
        <f>TwoParticleOffset0!L103</f>
        <v>0</v>
      </c>
    </row>
    <row r="71" spans="8:8" x14ac:dyDescent="0.25">
      <c r="H71">
        <f>TwoParticleOffset0!L104</f>
        <v>0</v>
      </c>
    </row>
    <row r="72" spans="8:8" x14ac:dyDescent="0.25">
      <c r="H72">
        <f>TwoParticleOffset0!L105</f>
        <v>0</v>
      </c>
    </row>
    <row r="73" spans="8:8" x14ac:dyDescent="0.25">
      <c r="H73">
        <f>TwoParticleOffset0!L106</f>
        <v>0</v>
      </c>
    </row>
    <row r="74" spans="8:8" x14ac:dyDescent="0.25">
      <c r="H74">
        <f>TwoParticleOffset0!L107</f>
        <v>0</v>
      </c>
    </row>
    <row r="75" spans="8:8" x14ac:dyDescent="0.25">
      <c r="H75">
        <f>TwoParticleOffset0!L108</f>
        <v>0</v>
      </c>
    </row>
    <row r="76" spans="8:8" x14ac:dyDescent="0.25">
      <c r="H76">
        <f>TwoParticleOffset0!L109</f>
        <v>0</v>
      </c>
    </row>
    <row r="77" spans="8:8" x14ac:dyDescent="0.25">
      <c r="H77">
        <f>TwoParticleOffset0!L110</f>
        <v>0</v>
      </c>
    </row>
    <row r="78" spans="8:8" x14ac:dyDescent="0.25">
      <c r="H78">
        <f>TwoParticleOffset0!L111</f>
        <v>0</v>
      </c>
    </row>
    <row r="79" spans="8:8" x14ac:dyDescent="0.25">
      <c r="H79">
        <f>TwoParticleOffset0!L112</f>
        <v>0</v>
      </c>
    </row>
    <row r="80" spans="8:8" x14ac:dyDescent="0.25">
      <c r="H80">
        <f>TwoParticleOffset0!L113</f>
        <v>0</v>
      </c>
    </row>
    <row r="81" spans="8:8" x14ac:dyDescent="0.25">
      <c r="H81">
        <f>TwoParticleOffset0!L114</f>
        <v>0</v>
      </c>
    </row>
    <row r="82" spans="8:8" x14ac:dyDescent="0.25">
      <c r="H82">
        <f>TwoParticleOffset0!L115</f>
        <v>0</v>
      </c>
    </row>
    <row r="83" spans="8:8" x14ac:dyDescent="0.25">
      <c r="H83">
        <f>TwoParticleOffset0!L116</f>
        <v>0</v>
      </c>
    </row>
    <row r="84" spans="8:8" x14ac:dyDescent="0.25">
      <c r="H84">
        <f>TwoParticleOffset0!L117</f>
        <v>0</v>
      </c>
    </row>
    <row r="85" spans="8:8" x14ac:dyDescent="0.25">
      <c r="H85">
        <f>TwoParticleOffset0!L118</f>
        <v>0</v>
      </c>
    </row>
    <row r="86" spans="8:8" x14ac:dyDescent="0.25">
      <c r="H86">
        <f>TwoParticleOffset0!L119</f>
        <v>0</v>
      </c>
    </row>
    <row r="87" spans="8:8" x14ac:dyDescent="0.25">
      <c r="H87">
        <f>TwoParticleOffset0!L120</f>
        <v>0</v>
      </c>
    </row>
    <row r="88" spans="8:8" x14ac:dyDescent="0.25">
      <c r="H88">
        <f>TwoParticleOffset0!L121</f>
        <v>0</v>
      </c>
    </row>
    <row r="89" spans="8:8" x14ac:dyDescent="0.25">
      <c r="H89">
        <f>TwoParticleOffset0!L122</f>
        <v>0</v>
      </c>
    </row>
    <row r="90" spans="8:8" x14ac:dyDescent="0.25">
      <c r="H90">
        <f>TwoParticleOffset0!L123</f>
        <v>0</v>
      </c>
    </row>
    <row r="91" spans="8:8" x14ac:dyDescent="0.25">
      <c r="H91">
        <f>TwoParticleOffset0!L124</f>
        <v>0</v>
      </c>
    </row>
    <row r="92" spans="8:8" x14ac:dyDescent="0.25">
      <c r="H92">
        <f>TwoParticleOffset0!L125</f>
        <v>0</v>
      </c>
    </row>
    <row r="93" spans="8:8" x14ac:dyDescent="0.25">
      <c r="H93">
        <f>TwoParticleOffset0!L126</f>
        <v>0</v>
      </c>
    </row>
    <row r="94" spans="8:8" x14ac:dyDescent="0.25">
      <c r="H94">
        <f>TwoParticleOffset0!L127</f>
        <v>0</v>
      </c>
    </row>
    <row r="95" spans="8:8" x14ac:dyDescent="0.25">
      <c r="H95">
        <f>TwoParticleOffset0!L128</f>
        <v>0</v>
      </c>
    </row>
    <row r="96" spans="8:8" x14ac:dyDescent="0.25">
      <c r="H96">
        <f>TwoParticleOffset0!L129</f>
        <v>0</v>
      </c>
    </row>
    <row r="97" spans="8:8" x14ac:dyDescent="0.25">
      <c r="H97">
        <f>TwoParticleOffset0!L130</f>
        <v>0</v>
      </c>
    </row>
    <row r="98" spans="8:8" x14ac:dyDescent="0.25">
      <c r="H98">
        <f>TwoParticleOffset0!L131</f>
        <v>0</v>
      </c>
    </row>
    <row r="99" spans="8:8" x14ac:dyDescent="0.25">
      <c r="H99">
        <f>TwoParticleOffset0!L132</f>
        <v>0</v>
      </c>
    </row>
    <row r="100" spans="8:8" x14ac:dyDescent="0.25">
      <c r="H100">
        <f>TwoParticleOffset0!L133</f>
        <v>0</v>
      </c>
    </row>
    <row r="101" spans="8:8" x14ac:dyDescent="0.25">
      <c r="H101">
        <f>TwoParticleOffset0!L134</f>
        <v>0</v>
      </c>
    </row>
    <row r="102" spans="8:8" x14ac:dyDescent="0.25">
      <c r="H102">
        <f>TwoParticleOffset0!L135</f>
        <v>0</v>
      </c>
    </row>
    <row r="103" spans="8:8" x14ac:dyDescent="0.25">
      <c r="H103">
        <f>TwoParticleOffset0!L136</f>
        <v>0</v>
      </c>
    </row>
    <row r="104" spans="8:8" x14ac:dyDescent="0.25">
      <c r="H104">
        <f>TwoParticleOffset0!L137</f>
        <v>0</v>
      </c>
    </row>
    <row r="105" spans="8:8" x14ac:dyDescent="0.25">
      <c r="H105">
        <f>TwoParticleOffset0!L138</f>
        <v>0</v>
      </c>
    </row>
    <row r="106" spans="8:8" x14ac:dyDescent="0.25">
      <c r="H106">
        <f>TwoParticleOffset0!L139</f>
        <v>0</v>
      </c>
    </row>
    <row r="107" spans="8:8" x14ac:dyDescent="0.25">
      <c r="H107">
        <f>TwoParticleOffset0!L140</f>
        <v>0</v>
      </c>
    </row>
    <row r="108" spans="8:8" x14ac:dyDescent="0.25">
      <c r="H108">
        <f>TwoParticleOffset0!L141</f>
        <v>0</v>
      </c>
    </row>
    <row r="109" spans="8:8" x14ac:dyDescent="0.25">
      <c r="H109">
        <f>TwoParticleOffset0!L142</f>
        <v>0</v>
      </c>
    </row>
    <row r="110" spans="8:8" x14ac:dyDescent="0.25">
      <c r="H110">
        <f>TwoParticleOffset0!L143</f>
        <v>0</v>
      </c>
    </row>
    <row r="111" spans="8:8" x14ac:dyDescent="0.25">
      <c r="H111">
        <f>TwoParticleOffset0!L144</f>
        <v>0</v>
      </c>
    </row>
    <row r="112" spans="8:8" x14ac:dyDescent="0.25">
      <c r="H112">
        <f>TwoParticleOffset0!L145</f>
        <v>0</v>
      </c>
    </row>
    <row r="113" spans="8:8" x14ac:dyDescent="0.25">
      <c r="H113">
        <f>TwoParticleOffset0!L146</f>
        <v>0</v>
      </c>
    </row>
    <row r="114" spans="8:8" x14ac:dyDescent="0.25">
      <c r="H114">
        <f>TwoParticleOffset0!L147</f>
        <v>0</v>
      </c>
    </row>
    <row r="115" spans="8:8" x14ac:dyDescent="0.25">
      <c r="H115">
        <f>TwoParticleOffset0!L148</f>
        <v>0</v>
      </c>
    </row>
    <row r="116" spans="8:8" x14ac:dyDescent="0.25">
      <c r="H116">
        <f>TwoParticleOffset0!L149</f>
        <v>0</v>
      </c>
    </row>
    <row r="117" spans="8:8" x14ac:dyDescent="0.25">
      <c r="H117">
        <f>TwoParticleOffset0!L150</f>
        <v>0</v>
      </c>
    </row>
    <row r="118" spans="8:8" x14ac:dyDescent="0.25">
      <c r="H118">
        <f>TwoParticleOffset0!L151</f>
        <v>0</v>
      </c>
    </row>
    <row r="119" spans="8:8" x14ac:dyDescent="0.25">
      <c r="H119">
        <f>TwoParticleOffset0!L152</f>
        <v>0</v>
      </c>
    </row>
    <row r="120" spans="8:8" x14ac:dyDescent="0.25">
      <c r="H120">
        <f>TwoParticleOffset0!L153</f>
        <v>0</v>
      </c>
    </row>
    <row r="121" spans="8:8" x14ac:dyDescent="0.25">
      <c r="H121">
        <f>TwoParticleOffset0!L154</f>
        <v>0</v>
      </c>
    </row>
    <row r="122" spans="8:8" x14ac:dyDescent="0.25">
      <c r="H122">
        <f>TwoParticleOffset0!L155</f>
        <v>0</v>
      </c>
    </row>
    <row r="123" spans="8:8" x14ac:dyDescent="0.25">
      <c r="H123">
        <f>TwoParticleOffset0!L156</f>
        <v>0</v>
      </c>
    </row>
    <row r="124" spans="8:8" x14ac:dyDescent="0.25">
      <c r="H124">
        <f>TwoParticleOffset0!L157</f>
        <v>0</v>
      </c>
    </row>
    <row r="125" spans="8:8" x14ac:dyDescent="0.25">
      <c r="H125">
        <f>TwoParticleOffset0!L158</f>
        <v>0</v>
      </c>
    </row>
    <row r="126" spans="8:8" x14ac:dyDescent="0.25">
      <c r="H126">
        <f>TwoParticleOffset0!L159</f>
        <v>0</v>
      </c>
    </row>
    <row r="127" spans="8:8" x14ac:dyDescent="0.25">
      <c r="H127">
        <f>TwoParticleOffset0!L160</f>
        <v>0</v>
      </c>
    </row>
    <row r="128" spans="8:8" x14ac:dyDescent="0.25">
      <c r="H128">
        <f>TwoParticleOffset0!L161</f>
        <v>0</v>
      </c>
    </row>
    <row r="129" spans="8:8" x14ac:dyDescent="0.25">
      <c r="H129">
        <f>TwoParticleOffset0!L162</f>
        <v>0</v>
      </c>
    </row>
    <row r="130" spans="8:8" x14ac:dyDescent="0.25">
      <c r="H130">
        <f>TwoParticleOffset0!L163</f>
        <v>0</v>
      </c>
    </row>
    <row r="131" spans="8:8" x14ac:dyDescent="0.25">
      <c r="H131">
        <f>TwoParticleOffset0!L164</f>
        <v>0</v>
      </c>
    </row>
    <row r="132" spans="8:8" x14ac:dyDescent="0.25">
      <c r="H132">
        <f>TwoParticleOffset0!L165</f>
        <v>0</v>
      </c>
    </row>
    <row r="133" spans="8:8" x14ac:dyDescent="0.25">
      <c r="H133">
        <f>TwoParticleOffset0!L166</f>
        <v>0</v>
      </c>
    </row>
    <row r="134" spans="8:8" x14ac:dyDescent="0.25">
      <c r="H134">
        <f>TwoParticleOffset0!L167</f>
        <v>0</v>
      </c>
    </row>
    <row r="135" spans="8:8" x14ac:dyDescent="0.25">
      <c r="H135">
        <f>TwoParticleOffset0!L168</f>
        <v>0</v>
      </c>
    </row>
    <row r="136" spans="8:8" x14ac:dyDescent="0.25">
      <c r="H136">
        <f>TwoParticleOffset0!L169</f>
        <v>0</v>
      </c>
    </row>
    <row r="137" spans="8:8" x14ac:dyDescent="0.25">
      <c r="H137">
        <f>TwoParticleOffset0!L170</f>
        <v>0</v>
      </c>
    </row>
    <row r="138" spans="8:8" x14ac:dyDescent="0.25">
      <c r="H138">
        <f>TwoParticleOffset0!L171</f>
        <v>0</v>
      </c>
    </row>
    <row r="139" spans="8:8" x14ac:dyDescent="0.25">
      <c r="H139">
        <f>TwoParticleOffset0!L172</f>
        <v>0</v>
      </c>
    </row>
    <row r="140" spans="8:8" x14ac:dyDescent="0.25">
      <c r="H140">
        <f>TwoParticleOffset0!L173</f>
        <v>0</v>
      </c>
    </row>
    <row r="141" spans="8:8" x14ac:dyDescent="0.25">
      <c r="H141">
        <f>TwoParticleOffset0!L174</f>
        <v>0</v>
      </c>
    </row>
    <row r="142" spans="8:8" x14ac:dyDescent="0.25">
      <c r="H142">
        <f>TwoParticleOffset0!L175</f>
        <v>0</v>
      </c>
    </row>
    <row r="143" spans="8:8" x14ac:dyDescent="0.25">
      <c r="H143">
        <f>TwoParticleOffset0!L176</f>
        <v>0</v>
      </c>
    </row>
    <row r="144" spans="8:8" x14ac:dyDescent="0.25">
      <c r="H144">
        <f>TwoParticleOffset0!L177</f>
        <v>0</v>
      </c>
    </row>
    <row r="145" spans="8:8" x14ac:dyDescent="0.25">
      <c r="H145">
        <f>TwoParticleOffset0!L178</f>
        <v>0</v>
      </c>
    </row>
    <row r="146" spans="8:8" x14ac:dyDescent="0.25">
      <c r="H146">
        <f>TwoParticleOffset0!L179</f>
        <v>0</v>
      </c>
    </row>
    <row r="147" spans="8:8" x14ac:dyDescent="0.25">
      <c r="H147">
        <f>TwoParticleOffset0!L180</f>
        <v>0</v>
      </c>
    </row>
    <row r="148" spans="8:8" x14ac:dyDescent="0.25">
      <c r="H148">
        <f>TwoParticleOffset0!L181</f>
        <v>0</v>
      </c>
    </row>
    <row r="149" spans="8:8" x14ac:dyDescent="0.25">
      <c r="H149">
        <f>TwoParticleOffset0!L182</f>
        <v>0</v>
      </c>
    </row>
    <row r="150" spans="8:8" x14ac:dyDescent="0.25">
      <c r="H150">
        <f>TwoParticleOffset0!L183</f>
        <v>0</v>
      </c>
    </row>
    <row r="151" spans="8:8" x14ac:dyDescent="0.25">
      <c r="H151">
        <f>TwoParticleOffset0!L184</f>
        <v>0</v>
      </c>
    </row>
    <row r="152" spans="8:8" x14ac:dyDescent="0.25">
      <c r="H152">
        <f>TwoParticleOffset0!L185</f>
        <v>0</v>
      </c>
    </row>
    <row r="153" spans="8:8" x14ac:dyDescent="0.25">
      <c r="H153">
        <f>TwoParticleOffset0!L186</f>
        <v>0</v>
      </c>
    </row>
    <row r="154" spans="8:8" x14ac:dyDescent="0.25">
      <c r="H154">
        <f>TwoParticleOffset0!L187</f>
        <v>0</v>
      </c>
    </row>
    <row r="155" spans="8:8" x14ac:dyDescent="0.25">
      <c r="H155">
        <f>TwoParticleOffset0!L188</f>
        <v>0</v>
      </c>
    </row>
    <row r="156" spans="8:8" x14ac:dyDescent="0.25">
      <c r="H156">
        <f>TwoParticleOffset0!L189</f>
        <v>0</v>
      </c>
    </row>
    <row r="157" spans="8:8" x14ac:dyDescent="0.25">
      <c r="H157">
        <f>TwoParticleOffset0!L190</f>
        <v>0</v>
      </c>
    </row>
    <row r="158" spans="8:8" x14ac:dyDescent="0.25">
      <c r="H158">
        <f>TwoParticleOffset0!L191</f>
        <v>0</v>
      </c>
    </row>
    <row r="159" spans="8:8" x14ac:dyDescent="0.25">
      <c r="H159">
        <f>TwoParticleOffset0!L192</f>
        <v>0</v>
      </c>
    </row>
    <row r="160" spans="8:8" x14ac:dyDescent="0.25">
      <c r="H160">
        <f>TwoParticleOffset0!L193</f>
        <v>0</v>
      </c>
    </row>
    <row r="161" spans="8:8" x14ac:dyDescent="0.25">
      <c r="H161">
        <f>TwoParticleOffset0!L194</f>
        <v>0</v>
      </c>
    </row>
    <row r="162" spans="8:8" x14ac:dyDescent="0.25">
      <c r="H162">
        <f>TwoParticleOffset0!L195</f>
        <v>0</v>
      </c>
    </row>
    <row r="163" spans="8:8" x14ac:dyDescent="0.25">
      <c r="H163">
        <f>TwoParticleOffset0!L196</f>
        <v>0</v>
      </c>
    </row>
    <row r="164" spans="8:8" x14ac:dyDescent="0.25">
      <c r="H164">
        <f>TwoParticleOffset0!L197</f>
        <v>0</v>
      </c>
    </row>
    <row r="165" spans="8:8" x14ac:dyDescent="0.25">
      <c r="H165">
        <f>TwoParticleOffset0!L198</f>
        <v>0</v>
      </c>
    </row>
    <row r="166" spans="8:8" x14ac:dyDescent="0.25">
      <c r="H166">
        <f>TwoParticleOffset0!L199</f>
        <v>0</v>
      </c>
    </row>
    <row r="167" spans="8:8" x14ac:dyDescent="0.25">
      <c r="H167">
        <f>TwoParticleOffset0!L200</f>
        <v>0</v>
      </c>
    </row>
    <row r="168" spans="8:8" x14ac:dyDescent="0.25">
      <c r="H168">
        <f>TwoParticleOffset0!L201</f>
        <v>0</v>
      </c>
    </row>
    <row r="169" spans="8:8" x14ac:dyDescent="0.25">
      <c r="H169">
        <f>TwoParticleOffset0!L202</f>
        <v>0</v>
      </c>
    </row>
    <row r="170" spans="8:8" x14ac:dyDescent="0.25">
      <c r="H170">
        <f>TwoParticleOffset0!L203</f>
        <v>0</v>
      </c>
    </row>
    <row r="171" spans="8:8" x14ac:dyDescent="0.25">
      <c r="H171">
        <f>TwoParticleOffset0!L204</f>
        <v>0</v>
      </c>
    </row>
    <row r="172" spans="8:8" x14ac:dyDescent="0.25">
      <c r="H172">
        <f>TwoParticleOffset0!L205</f>
        <v>0</v>
      </c>
    </row>
    <row r="173" spans="8:8" x14ac:dyDescent="0.25">
      <c r="H173">
        <f>TwoParticleOffset0!L206</f>
        <v>0</v>
      </c>
    </row>
    <row r="174" spans="8:8" x14ac:dyDescent="0.25">
      <c r="H174">
        <f>TwoParticleOffset0!L207</f>
        <v>0</v>
      </c>
    </row>
    <row r="175" spans="8:8" x14ac:dyDescent="0.25">
      <c r="H175">
        <f>TwoParticleOffset0!L208</f>
        <v>0</v>
      </c>
    </row>
    <row r="176" spans="8:8" x14ac:dyDescent="0.25">
      <c r="H176">
        <f>TwoParticleOffset0!L209</f>
        <v>0</v>
      </c>
    </row>
    <row r="177" spans="8:8" x14ac:dyDescent="0.25">
      <c r="H177">
        <f>TwoParticleOffset0!L210</f>
        <v>0</v>
      </c>
    </row>
    <row r="178" spans="8:8" x14ac:dyDescent="0.25">
      <c r="H178">
        <f>TwoParticleOffset0!L211</f>
        <v>0</v>
      </c>
    </row>
    <row r="179" spans="8:8" x14ac:dyDescent="0.25">
      <c r="H179">
        <f>TwoParticleOffset0!L212</f>
        <v>0</v>
      </c>
    </row>
    <row r="180" spans="8:8" x14ac:dyDescent="0.25">
      <c r="H180">
        <f>TwoParticleOffset0!L213</f>
        <v>0</v>
      </c>
    </row>
    <row r="181" spans="8:8" x14ac:dyDescent="0.25">
      <c r="H181">
        <f>TwoParticleOffset0!L214</f>
        <v>0</v>
      </c>
    </row>
    <row r="182" spans="8:8" x14ac:dyDescent="0.25">
      <c r="H182">
        <f>TwoParticleOffset0!L215</f>
        <v>0</v>
      </c>
    </row>
    <row r="183" spans="8:8" x14ac:dyDescent="0.25">
      <c r="H183">
        <f>TwoParticleOffset0!L216</f>
        <v>0</v>
      </c>
    </row>
    <row r="184" spans="8:8" x14ac:dyDescent="0.25">
      <c r="H184">
        <f>TwoParticleOffset0!L217</f>
        <v>0</v>
      </c>
    </row>
    <row r="185" spans="8:8" x14ac:dyDescent="0.25">
      <c r="H185">
        <f>TwoParticleOffset0!L218</f>
        <v>0</v>
      </c>
    </row>
    <row r="186" spans="8:8" x14ac:dyDescent="0.25">
      <c r="H186">
        <f>TwoParticleOffset0!L219</f>
        <v>0</v>
      </c>
    </row>
    <row r="187" spans="8:8" x14ac:dyDescent="0.25">
      <c r="H187">
        <f>TwoParticleOffset0!L220</f>
        <v>0</v>
      </c>
    </row>
    <row r="188" spans="8:8" x14ac:dyDescent="0.25">
      <c r="H188">
        <f>TwoParticleOffset0!L221</f>
        <v>0</v>
      </c>
    </row>
    <row r="189" spans="8:8" x14ac:dyDescent="0.25">
      <c r="H189">
        <f>TwoParticleOffset0!L222</f>
        <v>0</v>
      </c>
    </row>
    <row r="190" spans="8:8" x14ac:dyDescent="0.25">
      <c r="H190">
        <f>TwoParticleOffset0!L223</f>
        <v>0</v>
      </c>
    </row>
    <row r="191" spans="8:8" x14ac:dyDescent="0.25">
      <c r="H191">
        <f>TwoParticleOffset0!L224</f>
        <v>0</v>
      </c>
    </row>
    <row r="192" spans="8:8" x14ac:dyDescent="0.25">
      <c r="H192">
        <f>TwoParticleOffset0!L225</f>
        <v>0</v>
      </c>
    </row>
    <row r="193" spans="8:8" x14ac:dyDescent="0.25">
      <c r="H193">
        <f>TwoParticleOffset0!L226</f>
        <v>0</v>
      </c>
    </row>
    <row r="194" spans="8:8" x14ac:dyDescent="0.25">
      <c r="H194">
        <f>TwoParticleOffset0!L227</f>
        <v>0</v>
      </c>
    </row>
    <row r="195" spans="8:8" x14ac:dyDescent="0.25">
      <c r="H195">
        <f>TwoParticleOffset0!L228</f>
        <v>0</v>
      </c>
    </row>
    <row r="196" spans="8:8" x14ac:dyDescent="0.25">
      <c r="H196">
        <f>TwoParticleOffset0!L229</f>
        <v>0</v>
      </c>
    </row>
    <row r="197" spans="8:8" x14ac:dyDescent="0.25">
      <c r="H197">
        <f>TwoParticleOffset0!L230</f>
        <v>0</v>
      </c>
    </row>
    <row r="198" spans="8:8" x14ac:dyDescent="0.25">
      <c r="H198">
        <f>TwoParticleOffset0!L231</f>
        <v>0</v>
      </c>
    </row>
    <row r="199" spans="8:8" x14ac:dyDescent="0.25">
      <c r="H199">
        <f>TwoParticleOffset0!L232</f>
        <v>0</v>
      </c>
    </row>
    <row r="200" spans="8:8" x14ac:dyDescent="0.25">
      <c r="H200">
        <f>TwoParticleOffset0!L233</f>
        <v>0</v>
      </c>
    </row>
    <row r="201" spans="8:8" x14ac:dyDescent="0.25">
      <c r="H201">
        <f>TwoParticleOffset0!L234</f>
        <v>0</v>
      </c>
    </row>
    <row r="202" spans="8:8" x14ac:dyDescent="0.25">
      <c r="H202">
        <f>TwoParticleOffset0!L235</f>
        <v>0</v>
      </c>
    </row>
    <row r="203" spans="8:8" x14ac:dyDescent="0.25">
      <c r="H203">
        <f>TwoParticleOffset0!L236</f>
        <v>0</v>
      </c>
    </row>
    <row r="204" spans="8:8" x14ac:dyDescent="0.25">
      <c r="H204">
        <f>TwoParticleOffset0!L237</f>
        <v>0</v>
      </c>
    </row>
    <row r="205" spans="8:8" x14ac:dyDescent="0.25">
      <c r="H205">
        <f>TwoParticleOffset0!L238</f>
        <v>0</v>
      </c>
    </row>
    <row r="206" spans="8:8" x14ac:dyDescent="0.25">
      <c r="H206">
        <f>TwoParticleOffset0!L239</f>
        <v>0</v>
      </c>
    </row>
    <row r="207" spans="8:8" x14ac:dyDescent="0.25">
      <c r="H207">
        <f>TwoParticleOffset0!L240</f>
        <v>0</v>
      </c>
    </row>
    <row r="208" spans="8:8" x14ac:dyDescent="0.25">
      <c r="H208">
        <f>TwoParticleOffset0!L241</f>
        <v>0</v>
      </c>
    </row>
    <row r="209" spans="8:8" x14ac:dyDescent="0.25">
      <c r="H209">
        <f>TwoParticleOffset0!L242</f>
        <v>0</v>
      </c>
    </row>
    <row r="210" spans="8:8" x14ac:dyDescent="0.25">
      <c r="H210">
        <f>TwoParticleOffset0!L243</f>
        <v>0</v>
      </c>
    </row>
    <row r="211" spans="8:8" x14ac:dyDescent="0.25">
      <c r="H211">
        <f>TwoParticleOffset0!L244</f>
        <v>0</v>
      </c>
    </row>
    <row r="212" spans="8:8" x14ac:dyDescent="0.25">
      <c r="H212">
        <f>TwoParticleOffset0!L245</f>
        <v>0</v>
      </c>
    </row>
    <row r="213" spans="8:8" x14ac:dyDescent="0.25">
      <c r="H213">
        <f>TwoParticleOffset0!L246</f>
        <v>0</v>
      </c>
    </row>
    <row r="214" spans="8:8" x14ac:dyDescent="0.25">
      <c r="H214">
        <f>TwoParticleOffset0!L247</f>
        <v>0</v>
      </c>
    </row>
    <row r="215" spans="8:8" x14ac:dyDescent="0.25">
      <c r="H215">
        <f>TwoParticleOffset0!L248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94B7-0C71-4A1B-99B3-1AF136F8C2B7}">
  <dimension ref="A1:D91"/>
  <sheetViews>
    <sheetView topLeftCell="A22" workbookViewId="0">
      <selection activeCell="D48" sqref="D48"/>
    </sheetView>
  </sheetViews>
  <sheetFormatPr defaultRowHeight="15" x14ac:dyDescent="0.25"/>
  <sheetData>
    <row r="1" spans="1:4" x14ac:dyDescent="0.25">
      <c r="A1" t="s">
        <v>5</v>
      </c>
      <c r="B1" t="s">
        <v>44</v>
      </c>
      <c r="C1" t="s">
        <v>45</v>
      </c>
      <c r="D1" t="s">
        <v>46</v>
      </c>
    </row>
    <row r="2" spans="1:4" x14ac:dyDescent="0.25">
      <c r="A2">
        <f>TwoParticleOffset0C0[[#This Row],[v_mag]]</f>
        <v>0</v>
      </c>
    </row>
    <row r="3" spans="1:4" x14ac:dyDescent="0.25">
      <c r="A3">
        <f>TwoParticleOffset0C0[[#This Row],[v_mag]]</f>
        <v>0.95131487999999997</v>
      </c>
      <c r="D3">
        <f>SUM(C3:C48)</f>
        <v>-0.32639248999999992</v>
      </c>
    </row>
    <row r="4" spans="1:4" x14ac:dyDescent="0.25">
      <c r="A4">
        <f>TwoParticleOffset0C0[[#This Row],[v_mag]]</f>
        <v>0.95131487999999997</v>
      </c>
    </row>
    <row r="5" spans="1:4" x14ac:dyDescent="0.25">
      <c r="A5">
        <f>TwoParticleOffset0C0[[#This Row],[v_mag]]</f>
        <v>0.95131487999999997</v>
      </c>
    </row>
    <row r="6" spans="1:4" x14ac:dyDescent="0.25">
      <c r="A6">
        <f>TwoParticleOffset0C0[[#This Row],[v_mag]]</f>
        <v>0.95131487999999997</v>
      </c>
    </row>
    <row r="7" spans="1:4" x14ac:dyDescent="0.25">
      <c r="A7">
        <f>TwoParticleOffset0C0[[#This Row],[v_mag]]</f>
        <v>0.95131487999999997</v>
      </c>
    </row>
    <row r="8" spans="1:4" x14ac:dyDescent="0.25">
      <c r="A8">
        <f>TwoParticleOffset0C0[[#This Row],[v_mag]]</f>
        <v>0.95131487999999997</v>
      </c>
    </row>
    <row r="9" spans="1:4" x14ac:dyDescent="0.25">
      <c r="A9">
        <f>TwoParticleOffset0C0[[#This Row],[v_mag]]</f>
        <v>0.95131487999999997</v>
      </c>
    </row>
    <row r="10" spans="1:4" x14ac:dyDescent="0.25">
      <c r="A10">
        <f>TwoParticleOffset0C0[[#This Row],[v_mag]]</f>
        <v>0.95131487999999997</v>
      </c>
    </row>
    <row r="11" spans="1:4" x14ac:dyDescent="0.25">
      <c r="A11">
        <f>TwoParticleOffset0C0[[#This Row],[v_mag]]</f>
        <v>0.95131487999999997</v>
      </c>
    </row>
    <row r="12" spans="1:4" x14ac:dyDescent="0.25">
      <c r="A12">
        <f>TwoParticleOffset0C0[[#This Row],[v_mag]]</f>
        <v>0.95131487999999997</v>
      </c>
    </row>
    <row r="13" spans="1:4" x14ac:dyDescent="0.25">
      <c r="A13">
        <f>TwoParticleOffset0C0[[#This Row],[v_mag]]</f>
        <v>0.95131487999999997</v>
      </c>
    </row>
    <row r="14" spans="1:4" x14ac:dyDescent="0.25">
      <c r="A14">
        <f>TwoParticleOffset0C0[[#This Row],[v_mag]]</f>
        <v>0.95131487999999997</v>
      </c>
    </row>
    <row r="15" spans="1:4" x14ac:dyDescent="0.25">
      <c r="A15">
        <f>TwoParticleOffset0C0[[#This Row],[v_mag]]</f>
        <v>0.95131487999999997</v>
      </c>
    </row>
    <row r="16" spans="1:4" x14ac:dyDescent="0.25">
      <c r="A16">
        <f>TwoParticleOffset0C0[[#This Row],[v_mag]]</f>
        <v>0.95131487999999997</v>
      </c>
    </row>
    <row r="17" spans="1:3" x14ac:dyDescent="0.25">
      <c r="A17">
        <f>TwoParticleOffset0C0[[#This Row],[v_mag]]</f>
        <v>0.95131487999999997</v>
      </c>
    </row>
    <row r="18" spans="1:3" x14ac:dyDescent="0.25">
      <c r="A18">
        <f>TwoParticleOffset0C0[[#This Row],[v_mag]]</f>
        <v>0.95131487999999997</v>
      </c>
    </row>
    <row r="19" spans="1:3" x14ac:dyDescent="0.25">
      <c r="A19">
        <f>TwoParticleOffset0C0[[#This Row],[v_mag]]</f>
        <v>0.95131487999999997</v>
      </c>
    </row>
    <row r="20" spans="1:3" x14ac:dyDescent="0.25">
      <c r="A20">
        <f>TwoParticleOffset0C0[[#This Row],[v_mag]]</f>
        <v>0.95131487999999997</v>
      </c>
    </row>
    <row r="21" spans="1:3" x14ac:dyDescent="0.25">
      <c r="A21">
        <f>TwoParticleOffset0C0[[#This Row],[v_mag]]</f>
        <v>0.95129286000000002</v>
      </c>
      <c r="B21">
        <f>TwoParticleOffset0!AA49</f>
        <v>0.88836619999999999</v>
      </c>
      <c r="C21">
        <f t="shared" ref="C4:C50" si="0">A21-B21</f>
        <v>6.2926660000000023E-2</v>
      </c>
    </row>
    <row r="22" spans="1:3" x14ac:dyDescent="0.25">
      <c r="A22">
        <f>TwoParticleOffset0C0[[#This Row],[v_mag]]</f>
        <v>0.95109575999999996</v>
      </c>
      <c r="B22">
        <f>TwoParticleOffset0!AA50</f>
        <v>0.88945529000000001</v>
      </c>
      <c r="C22">
        <f t="shared" si="0"/>
        <v>6.1640469999999947E-2</v>
      </c>
    </row>
    <row r="23" spans="1:3" x14ac:dyDescent="0.25">
      <c r="A23">
        <f>TwoParticleOffset0C0[[#This Row],[v_mag]]</f>
        <v>0.95064384000000002</v>
      </c>
      <c r="B23">
        <f>TwoParticleOffset0!AA51</f>
        <v>0.89109006000000002</v>
      </c>
      <c r="C23">
        <f t="shared" si="0"/>
        <v>5.9553780000000001E-2</v>
      </c>
    </row>
    <row r="24" spans="1:3" x14ac:dyDescent="0.25">
      <c r="A24">
        <f>TwoParticleOffset0C0[[#This Row],[v_mag]]</f>
        <v>0.94988982</v>
      </c>
      <c r="B24">
        <f>TwoParticleOffset0!AA52</f>
        <v>0.89324800999999998</v>
      </c>
      <c r="C24">
        <f t="shared" si="0"/>
        <v>5.6641810000000015E-2</v>
      </c>
    </row>
    <row r="25" spans="1:3" x14ac:dyDescent="0.25">
      <c r="A25">
        <f>TwoParticleOffset0C0[[#This Row],[v_mag]]</f>
        <v>0.94880408000000005</v>
      </c>
      <c r="B25">
        <f>TwoParticleOffset0!AA53</f>
        <v>0.89589733000000005</v>
      </c>
      <c r="C25">
        <f t="shared" si="0"/>
        <v>5.2906750000000002E-2</v>
      </c>
    </row>
    <row r="26" spans="1:3" x14ac:dyDescent="0.25">
      <c r="A26">
        <f>TwoParticleOffset0C0[[#This Row],[v_mag]]</f>
        <v>0.94736997000000001</v>
      </c>
      <c r="B26">
        <f>TwoParticleOffset0!AA54</f>
        <v>0.89899768000000002</v>
      </c>
      <c r="C26">
        <f t="shared" si="0"/>
        <v>4.8372289999999984E-2</v>
      </c>
    </row>
    <row r="27" spans="1:3" x14ac:dyDescent="0.25">
      <c r="A27">
        <f>TwoParticleOffset0C0[[#This Row],[v_mag]]</f>
        <v>0.94558162000000001</v>
      </c>
      <c r="B27">
        <f>TwoParticleOffset0!AA55</f>
        <v>0.90250118000000001</v>
      </c>
      <c r="C27">
        <f t="shared" si="0"/>
        <v>4.3080439999999998E-2</v>
      </c>
    </row>
    <row r="28" spans="1:3" x14ac:dyDescent="0.25">
      <c r="A28">
        <f>TwoParticleOffset0C0[[#This Row],[v_mag]]</f>
        <v>0.94344267000000004</v>
      </c>
      <c r="B28">
        <f>TwoParticleOffset0!AA56</f>
        <v>0.90635363999999996</v>
      </c>
      <c r="C28">
        <f t="shared" si="0"/>
        <v>3.7089030000000078E-2</v>
      </c>
    </row>
    <row r="29" spans="1:3" x14ac:dyDescent="0.25">
      <c r="A29">
        <f>TwoParticleOffset0C0[[#This Row],[v_mag]]</f>
        <v>0.94096550000000001</v>
      </c>
      <c r="B29">
        <f>TwoParticleOffset0!AA57</f>
        <v>0.91049577000000004</v>
      </c>
      <c r="C29">
        <f t="shared" si="0"/>
        <v>3.0469729999999973E-2</v>
      </c>
    </row>
    <row r="30" spans="1:3" x14ac:dyDescent="0.25">
      <c r="A30">
        <f>TwoParticleOffset0C0[[#This Row],[v_mag]]</f>
        <v>0.93817061999999996</v>
      </c>
      <c r="B30">
        <f>TwoParticleOffset0!AA58</f>
        <v>0.91486460000000003</v>
      </c>
      <c r="C30">
        <f t="shared" si="0"/>
        <v>2.3306019999999927E-2</v>
      </c>
    </row>
    <row r="31" spans="1:3" x14ac:dyDescent="0.25">
      <c r="A31">
        <f>TwoParticleOffset0C0[[#This Row],[v_mag]]</f>
        <v>0.93508614999999995</v>
      </c>
      <c r="B31">
        <f>TwoParticleOffset0!AA59</f>
        <v>0.91939475000000004</v>
      </c>
      <c r="C31">
        <f t="shared" si="0"/>
        <v>1.5691399999999911E-2</v>
      </c>
    </row>
    <row r="32" spans="1:3" x14ac:dyDescent="0.25">
      <c r="A32">
        <f>TwoParticleOffset0C0[[#This Row],[v_mag]]</f>
        <v>0.93174729000000001</v>
      </c>
      <c r="B32">
        <f>TwoParticleOffset0!AA60</f>
        <v>0.92401986999999997</v>
      </c>
      <c r="C32">
        <f t="shared" si="0"/>
        <v>7.7274200000000404E-3</v>
      </c>
    </row>
    <row r="33" spans="1:3" x14ac:dyDescent="0.25">
      <c r="A33">
        <f>TwoParticleOffset0C0[[#This Row],[v_mag]]</f>
        <v>0.92819580000000002</v>
      </c>
      <c r="B33">
        <f>TwoParticleOffset0!AA61</f>
        <v>0.92867389</v>
      </c>
      <c r="C33">
        <f t="shared" si="0"/>
        <v>-4.7808999999998658E-4</v>
      </c>
    </row>
    <row r="34" spans="1:3" x14ac:dyDescent="0.25">
      <c r="A34">
        <f>TwoParticleOffset0C0[[#This Row],[v_mag]]</f>
        <v>0.92447931999999999</v>
      </c>
      <c r="B34">
        <f>TwoParticleOffset0!AA62</f>
        <v>0.93329225000000005</v>
      </c>
      <c r="C34">
        <f t="shared" si="0"/>
        <v>-8.8129300000000521E-3</v>
      </c>
    </row>
    <row r="35" spans="1:3" x14ac:dyDescent="0.25">
      <c r="A35">
        <f>TwoParticleOffset0C0[[#This Row],[v_mag]]</f>
        <v>0.92065070000000004</v>
      </c>
      <c r="B35">
        <f>TwoParticleOffset0!AA63</f>
        <v>0.93781303000000005</v>
      </c>
      <c r="C35">
        <f t="shared" si="0"/>
        <v>-1.7162330000000003E-2</v>
      </c>
    </row>
    <row r="36" spans="1:3" x14ac:dyDescent="0.25">
      <c r="A36">
        <f>TwoParticleOffset0C0[[#This Row],[v_mag]]</f>
        <v>0.91676714000000004</v>
      </c>
      <c r="B36">
        <f>TwoParticleOffset0!AA64</f>
        <v>0.94217797999999997</v>
      </c>
      <c r="C36">
        <f t="shared" si="0"/>
        <v>-2.5410839999999935E-2</v>
      </c>
    </row>
    <row r="37" spans="1:3" x14ac:dyDescent="0.25">
      <c r="A37">
        <f>TwoParticleOffset0C0[[#This Row],[v_mag]]</f>
        <v>0.91288928000000003</v>
      </c>
      <c r="B37">
        <f>TwoParticleOffset0!AA65</f>
        <v>0.94633343000000003</v>
      </c>
      <c r="C37">
        <f t="shared" si="0"/>
        <v>-3.3444150000000006E-2</v>
      </c>
    </row>
    <row r="38" spans="1:3" x14ac:dyDescent="0.25">
      <c r="A38">
        <f>TwoParticleOffset0C0[[#This Row],[v_mag]]</f>
        <v>0.90908012000000005</v>
      </c>
      <c r="B38">
        <f>TwoParticleOffset0!AA66</f>
        <v>0.95023108000000001</v>
      </c>
      <c r="C38">
        <f t="shared" si="0"/>
        <v>-4.1150959999999959E-2</v>
      </c>
    </row>
    <row r="39" spans="1:3" x14ac:dyDescent="0.25">
      <c r="A39">
        <f>TwoParticleOffset0C0[[#This Row],[v_mag]]</f>
        <v>0.90540390999999998</v>
      </c>
      <c r="B39">
        <f>TwoParticleOffset0!AA67</f>
        <v>0.95382873000000001</v>
      </c>
      <c r="C39">
        <f t="shared" si="0"/>
        <v>-4.8424820000000035E-2</v>
      </c>
    </row>
    <row r="40" spans="1:3" x14ac:dyDescent="0.25">
      <c r="A40">
        <f>TwoParticleOffset0C0[[#This Row],[v_mag]]</f>
        <v>0.90192486000000005</v>
      </c>
      <c r="B40">
        <f>TwoParticleOffset0!AA68</f>
        <v>0.95709087000000004</v>
      </c>
      <c r="C40">
        <f t="shared" si="0"/>
        <v>-5.5166009999999988E-2</v>
      </c>
    </row>
    <row r="41" spans="1:3" x14ac:dyDescent="0.25">
      <c r="A41">
        <f>TwoParticleOffset0C0[[#This Row],[v_mag]]</f>
        <v>0.89870585000000003</v>
      </c>
      <c r="B41">
        <f>TwoParticleOffset0!AA69</f>
        <v>0.95998925000000002</v>
      </c>
      <c r="C41">
        <f t="shared" si="0"/>
        <v>-6.1283399999999988E-2</v>
      </c>
    </row>
    <row r="42" spans="1:3" x14ac:dyDescent="0.25">
      <c r="A42">
        <f>TwoParticleOffset0C0[[#This Row],[v_mag]]</f>
        <v>0.89580705999999999</v>
      </c>
      <c r="B42">
        <f>TwoParticleOffset0!AA70</f>
        <v>0.96250334999999998</v>
      </c>
      <c r="C42">
        <f t="shared" si="0"/>
        <v>-6.6696289999999991E-2</v>
      </c>
    </row>
    <row r="43" spans="1:3" x14ac:dyDescent="0.25">
      <c r="A43">
        <f>TwoParticleOffset0C0[[#This Row],[v_mag]]</f>
        <v>0.89328457999999999</v>
      </c>
      <c r="B43">
        <f>TwoParticleOffset0!AA71</f>
        <v>0.96462095000000003</v>
      </c>
      <c r="C43">
        <f t="shared" si="0"/>
        <v>-7.1336370000000038E-2</v>
      </c>
    </row>
    <row r="44" spans="1:3" x14ac:dyDescent="0.25">
      <c r="A44">
        <f>TwoParticleOffset0C0[[#This Row],[v_mag]]</f>
        <v>0.89118911000000001</v>
      </c>
      <c r="B44">
        <f>TwoParticleOffset0!AA72</f>
        <v>0.96633866999999996</v>
      </c>
      <c r="C44">
        <f t="shared" si="0"/>
        <v>-7.5149559999999949E-2</v>
      </c>
    </row>
    <row r="45" spans="1:3" x14ac:dyDescent="0.25">
      <c r="A45">
        <f>TwoParticleOffset0C0[[#This Row],[v_mag]]</f>
        <v>0.88956469000000005</v>
      </c>
      <c r="B45">
        <f>TwoParticleOffset0!AA73</f>
        <v>0.96766277999999994</v>
      </c>
      <c r="C45">
        <f t="shared" si="0"/>
        <v>-7.8098089999999898E-2</v>
      </c>
    </row>
    <row r="46" spans="1:3" x14ac:dyDescent="0.25">
      <c r="A46">
        <f>TwoParticleOffset0C0[[#This Row],[v_mag]]</f>
        <v>0.88844752999999999</v>
      </c>
      <c r="B46">
        <f>TwoParticleOffset0!AA74</f>
        <v>0.96861030000000004</v>
      </c>
      <c r="C46">
        <f t="shared" si="0"/>
        <v>-8.016277000000005E-2</v>
      </c>
    </row>
    <row r="47" spans="1:3" x14ac:dyDescent="0.25">
      <c r="A47">
        <f>TwoParticleOffset0C0[[#This Row],[v_mag]]</f>
        <v>0.88786511000000001</v>
      </c>
      <c r="B47">
        <f>TwoParticleOffset0!AA75</f>
        <v>0.96921095999999995</v>
      </c>
      <c r="C47">
        <f t="shared" si="0"/>
        <v>-8.1345849999999942E-2</v>
      </c>
    </row>
    <row r="48" spans="1:3" x14ac:dyDescent="0.25">
      <c r="A48">
        <f>TwoParticleOffset0C0[[#This Row],[v_mag]]</f>
        <v>0.88783535000000002</v>
      </c>
      <c r="B48">
        <f>TwoParticleOffset0!AA76</f>
        <v>0.96951118000000003</v>
      </c>
      <c r="C48">
        <f t="shared" si="0"/>
        <v>-8.1675830000000005E-2</v>
      </c>
    </row>
    <row r="49" spans="1:2" x14ac:dyDescent="0.25">
      <c r="A49">
        <f>TwoParticleOffset0C0[[#This Row],[v_mag]]</f>
        <v>0.88836619999999999</v>
      </c>
      <c r="B49">
        <f>TwoParticleOffset0!AA77</f>
        <v>0</v>
      </c>
    </row>
    <row r="50" spans="1:2" x14ac:dyDescent="0.25">
      <c r="A50">
        <f>TwoParticleOffset0C0[[#This Row],[v_mag]]</f>
        <v>0.88945529000000001</v>
      </c>
      <c r="B50">
        <f>TwoParticleOffset0!AA78</f>
        <v>0</v>
      </c>
    </row>
    <row r="51" spans="1:2" x14ac:dyDescent="0.25">
      <c r="A51">
        <f>TwoParticleOffset0C0[[#This Row],[v_mag]]</f>
        <v>0.89109006000000002</v>
      </c>
      <c r="B51">
        <f>TwoParticleOffset0!AA79</f>
        <v>0</v>
      </c>
    </row>
    <row r="52" spans="1:2" x14ac:dyDescent="0.25">
      <c r="A52">
        <f>TwoParticleOffset0C0[[#This Row],[v_mag]]</f>
        <v>0.89324800999999998</v>
      </c>
      <c r="B52">
        <f>TwoParticleOffset0!AA80</f>
        <v>0</v>
      </c>
    </row>
    <row r="53" spans="1:2" x14ac:dyDescent="0.25">
      <c r="A53">
        <f>TwoParticleOffset0C0[[#This Row],[v_mag]]</f>
        <v>0.89589733000000005</v>
      </c>
      <c r="B53">
        <f>TwoParticleOffset0!AA81</f>
        <v>0</v>
      </c>
    </row>
    <row r="54" spans="1:2" x14ac:dyDescent="0.25">
      <c r="A54">
        <f>TwoParticleOffset0C0[[#This Row],[v_mag]]</f>
        <v>0.89899768000000002</v>
      </c>
      <c r="B54">
        <f>TwoParticleOffset0!AA82</f>
        <v>0</v>
      </c>
    </row>
    <row r="55" spans="1:2" x14ac:dyDescent="0.25">
      <c r="A55">
        <f>TwoParticleOffset0C0[[#This Row],[v_mag]]</f>
        <v>0.90250118000000001</v>
      </c>
      <c r="B55" t="e">
        <f>TwoParticleOffset0!#REF!</f>
        <v>#REF!</v>
      </c>
    </row>
    <row r="56" spans="1:2" x14ac:dyDescent="0.25">
      <c r="A56">
        <f>TwoParticleOffset0C0[[#This Row],[v_mag]]</f>
        <v>0.90635363999999996</v>
      </c>
      <c r="B56" t="e">
        <f>TwoParticleOffset0!#REF!</f>
        <v>#REF!</v>
      </c>
    </row>
    <row r="57" spans="1:2" x14ac:dyDescent="0.25">
      <c r="A57">
        <f>TwoParticleOffset0C0[[#This Row],[v_mag]]</f>
        <v>0.91049577000000004</v>
      </c>
      <c r="B57" t="e">
        <f>TwoParticleOffset0!#REF!</f>
        <v>#REF!</v>
      </c>
    </row>
    <row r="58" spans="1:2" x14ac:dyDescent="0.25">
      <c r="A58">
        <f>TwoParticleOffset0C0[[#This Row],[v_mag]]</f>
        <v>0.91486460000000003</v>
      </c>
      <c r="B58" t="e">
        <f>TwoParticleOffset0!#REF!</f>
        <v>#REF!</v>
      </c>
    </row>
    <row r="59" spans="1:2" x14ac:dyDescent="0.25">
      <c r="A59">
        <f>TwoParticleOffset0C0[[#This Row],[v_mag]]</f>
        <v>0.91939475000000004</v>
      </c>
      <c r="B59" t="e">
        <f>TwoParticleOffset0!#REF!</f>
        <v>#REF!</v>
      </c>
    </row>
    <row r="60" spans="1:2" x14ac:dyDescent="0.25">
      <c r="A60">
        <f>TwoParticleOffset0C0[[#This Row],[v_mag]]</f>
        <v>0.92401986999999997</v>
      </c>
      <c r="B60" t="e">
        <f>TwoParticleOffset0!#REF!</f>
        <v>#REF!</v>
      </c>
    </row>
    <row r="61" spans="1:2" x14ac:dyDescent="0.25">
      <c r="A61">
        <f>TwoParticleOffset0C0[[#This Row],[v_mag]]</f>
        <v>0.92867389</v>
      </c>
      <c r="B61" t="e">
        <f>TwoParticleOffset0!#REF!</f>
        <v>#REF!</v>
      </c>
    </row>
    <row r="62" spans="1:2" x14ac:dyDescent="0.25">
      <c r="A62">
        <f>TwoParticleOffset0C0[[#This Row],[v_mag]]</f>
        <v>0.93329225000000005</v>
      </c>
      <c r="B62" t="e">
        <f>TwoParticleOffset0!#REF!</f>
        <v>#REF!</v>
      </c>
    </row>
    <row r="63" spans="1:2" x14ac:dyDescent="0.25">
      <c r="A63">
        <f>TwoParticleOffset0C0[[#This Row],[v_mag]]</f>
        <v>0.93781303000000005</v>
      </c>
      <c r="B63">
        <f>TwoParticleOffset0!AA99</f>
        <v>0</v>
      </c>
    </row>
    <row r="64" spans="1:2" x14ac:dyDescent="0.25">
      <c r="A64">
        <f>TwoParticleOffset0C0[[#This Row],[v_mag]]</f>
        <v>0.94217797999999997</v>
      </c>
      <c r="B64">
        <f>TwoParticleOffset0!AA100</f>
        <v>0</v>
      </c>
    </row>
    <row r="65" spans="1:2" x14ac:dyDescent="0.25">
      <c r="A65">
        <f>TwoParticleOffset0C0[[#This Row],[v_mag]]</f>
        <v>0.94633343000000003</v>
      </c>
      <c r="B65">
        <f>TwoParticleOffset0!AA101</f>
        <v>0</v>
      </c>
    </row>
    <row r="66" spans="1:2" x14ac:dyDescent="0.25">
      <c r="A66">
        <f>TwoParticleOffset0C0[[#This Row],[v_mag]]</f>
        <v>0.95023108000000001</v>
      </c>
      <c r="B66">
        <f>TwoParticleOffset0!AA102</f>
        <v>0</v>
      </c>
    </row>
    <row r="67" spans="1:2" x14ac:dyDescent="0.25">
      <c r="A67">
        <f>TwoParticleOffset0C0[[#This Row],[v_mag]]</f>
        <v>0.95382873000000001</v>
      </c>
      <c r="B67">
        <f>TwoParticleOffset0!AA103</f>
        <v>0</v>
      </c>
    </row>
    <row r="68" spans="1:2" x14ac:dyDescent="0.25">
      <c r="A68">
        <f>TwoParticleOffset0C0[[#This Row],[v_mag]]</f>
        <v>0.95709087000000004</v>
      </c>
      <c r="B68">
        <f>TwoParticleOffset0!AA104</f>
        <v>0</v>
      </c>
    </row>
    <row r="69" spans="1:2" x14ac:dyDescent="0.25">
      <c r="A69">
        <f>TwoParticleOffset0C0[[#This Row],[v_mag]]</f>
        <v>0.95998925000000002</v>
      </c>
      <c r="B69">
        <f>TwoParticleOffset0!AA105</f>
        <v>0</v>
      </c>
    </row>
    <row r="70" spans="1:2" x14ac:dyDescent="0.25">
      <c r="A70">
        <f>TwoParticleOffset0C0[[#This Row],[v_mag]]</f>
        <v>0.96250334999999998</v>
      </c>
      <c r="B70">
        <f>TwoParticleOffset0!AA106</f>
        <v>0</v>
      </c>
    </row>
    <row r="71" spans="1:2" x14ac:dyDescent="0.25">
      <c r="A71">
        <f>TwoParticleOffset0C0[[#This Row],[v_mag]]</f>
        <v>0.96462095000000003</v>
      </c>
      <c r="B71">
        <f>TwoParticleOffset0!AA107</f>
        <v>0</v>
      </c>
    </row>
    <row r="72" spans="1:2" x14ac:dyDescent="0.25">
      <c r="A72">
        <f>TwoParticleOffset0C0[[#This Row],[v_mag]]</f>
        <v>0.96633866999999996</v>
      </c>
      <c r="B72">
        <f>TwoParticleOffset0!AA108</f>
        <v>0</v>
      </c>
    </row>
    <row r="73" spans="1:2" x14ac:dyDescent="0.25">
      <c r="A73">
        <f>TwoParticleOffset0C0[[#This Row],[v_mag]]</f>
        <v>0.96766277999999994</v>
      </c>
      <c r="B73">
        <f>TwoParticleOffset0!AA109</f>
        <v>0</v>
      </c>
    </row>
    <row r="74" spans="1:2" x14ac:dyDescent="0.25">
      <c r="A74">
        <f>TwoParticleOffset0C0[[#This Row],[v_mag]]</f>
        <v>0.96861030000000004</v>
      </c>
      <c r="B74">
        <f>TwoParticleOffset0!AA110</f>
        <v>0</v>
      </c>
    </row>
    <row r="75" spans="1:2" x14ac:dyDescent="0.25">
      <c r="A75">
        <f>TwoParticleOffset0C0[[#This Row],[v_mag]]</f>
        <v>0.96921095999999995</v>
      </c>
      <c r="B75">
        <f>TwoParticleOffset0!AA111</f>
        <v>0</v>
      </c>
    </row>
    <row r="76" spans="1:2" x14ac:dyDescent="0.25">
      <c r="A76">
        <f>TwoParticleOffset0C0[[#This Row],[v_mag]]</f>
        <v>0.96951118000000003</v>
      </c>
      <c r="B76">
        <f>TwoParticleOffset0!AA112</f>
        <v>0</v>
      </c>
    </row>
    <row r="77" spans="1:2" x14ac:dyDescent="0.25">
      <c r="A77">
        <f>TwoParticleOffset0C0[[#This Row],[v_mag]]</f>
        <v>0.96958427000000003</v>
      </c>
      <c r="B77">
        <f>TwoParticleOffset0!AA113</f>
        <v>0</v>
      </c>
    </row>
    <row r="78" spans="1:2" x14ac:dyDescent="0.25">
      <c r="A78">
        <f>TwoParticleOffset0C0[[#This Row],[v_mag]]</f>
        <v>0.96965736000000002</v>
      </c>
      <c r="B78">
        <f>TwoParticleOffset0!AA114</f>
        <v>0</v>
      </c>
    </row>
    <row r="79" spans="1:2" x14ac:dyDescent="0.25">
      <c r="A79">
        <f>TwoParticleOffset0C0[[#This Row],[v_mag]]</f>
        <v>0.96965736000000002</v>
      </c>
      <c r="B79">
        <f>TwoParticleOffset0!AA115</f>
        <v>0</v>
      </c>
    </row>
    <row r="80" spans="1:2" x14ac:dyDescent="0.25">
      <c r="A80">
        <f>TwoParticleOffset0C0[[#This Row],[v_mag]]</f>
        <v>0.96965736000000002</v>
      </c>
      <c r="B80">
        <f>TwoParticleOffset0!AA116</f>
        <v>0</v>
      </c>
    </row>
    <row r="81" spans="1:2" x14ac:dyDescent="0.25">
      <c r="A81">
        <f>TwoParticleOffset0C0[[#This Row],[v_mag]]</f>
        <v>0.96965736000000002</v>
      </c>
      <c r="B81">
        <f>TwoParticleOffset0!AA117</f>
        <v>0</v>
      </c>
    </row>
    <row r="82" spans="1:2" x14ac:dyDescent="0.25">
      <c r="A82">
        <f>TwoParticleOffset0C0[[#This Row],[v_mag]]</f>
        <v>0.96965736000000002</v>
      </c>
      <c r="B82">
        <f>TwoParticleOffset0!AA118</f>
        <v>0</v>
      </c>
    </row>
    <row r="83" spans="1:2" x14ac:dyDescent="0.25">
      <c r="A83">
        <f>TwoParticleOffset0C0[[#This Row],[v_mag]]</f>
        <v>0.96965736000000002</v>
      </c>
      <c r="B83">
        <f>TwoParticleOffset0!AA119</f>
        <v>0</v>
      </c>
    </row>
    <row r="84" spans="1:2" x14ac:dyDescent="0.25">
      <c r="A84">
        <f>TwoParticleOffset0C0[[#This Row],[v_mag]]</f>
        <v>0.96965736000000002</v>
      </c>
      <c r="B84">
        <f>TwoParticleOffset0!AA120</f>
        <v>0</v>
      </c>
    </row>
    <row r="85" spans="1:2" x14ac:dyDescent="0.25">
      <c r="A85">
        <f>TwoParticleOffset0C0[[#This Row],[v_mag]]</f>
        <v>0.96965736000000002</v>
      </c>
      <c r="B85">
        <f>TwoParticleOffset0!AA121</f>
        <v>0</v>
      </c>
    </row>
    <row r="86" spans="1:2" x14ac:dyDescent="0.25">
      <c r="A86">
        <f>TwoParticleOffset0C0[[#This Row],[v_mag]]</f>
        <v>0.96965736000000002</v>
      </c>
      <c r="B86">
        <f>TwoParticleOffset0!AA122</f>
        <v>0</v>
      </c>
    </row>
    <row r="87" spans="1:2" x14ac:dyDescent="0.25">
      <c r="A87">
        <f>TwoParticleOffset0C0[[#This Row],[v_mag]]</f>
        <v>0.96965736000000002</v>
      </c>
      <c r="B87">
        <f>TwoParticleOffset0!AA123</f>
        <v>0</v>
      </c>
    </row>
    <row r="88" spans="1:2" x14ac:dyDescent="0.25">
      <c r="A88">
        <f>TwoParticleOffset0C0[[#This Row],[v_mag]]</f>
        <v>0.96965736000000002</v>
      </c>
      <c r="B88">
        <f>TwoParticleOffset0!AA124</f>
        <v>0</v>
      </c>
    </row>
    <row r="89" spans="1:2" x14ac:dyDescent="0.25">
      <c r="A89">
        <f>TwoParticleOffset0C0[[#This Row],[v_mag]]</f>
        <v>0.96965736000000002</v>
      </c>
      <c r="B89">
        <f>TwoParticleOffset0!AA125</f>
        <v>0</v>
      </c>
    </row>
    <row r="90" spans="1:2" x14ac:dyDescent="0.25">
      <c r="A90">
        <f>TwoParticleOffset0C0[[#This Row],[v_mag]]</f>
        <v>0.96965736000000002</v>
      </c>
      <c r="B90">
        <f>TwoParticleOffset0!AA126</f>
        <v>0</v>
      </c>
    </row>
    <row r="91" spans="1:2" x14ac:dyDescent="0.25">
      <c r="A91">
        <f>TwoParticleOffset0C0[[#This Row],[v_mag]]</f>
        <v>0.96965736000000002</v>
      </c>
      <c r="B91">
        <f>TwoParticleOffset0!AA127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B17C6-9B1E-497A-9DD8-2E14685D1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TwoParticleOffset0</vt:lpstr>
      <vt:lpstr>TwoParticleOffset1</vt:lpstr>
      <vt:lpstr>Vals</vt:lpstr>
      <vt:lpstr>PregMom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2026-03-07T19:28:58Z</dcterms:created>
  <dcterms:modified xsi:type="dcterms:W3CDTF">2026-03-13T16:40:02Z</dcterms:modified>
</cp:coreProperties>
</file>