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DJ\gPCD\Dynamics\data\"/>
    </mc:Choice>
  </mc:AlternateContent>
  <xr:revisionPtr revIDLastSave="0" documentId="13_ncr:1_{C1C3857D-07CE-434D-9665-6F1401CAD8B0}" xr6:coauthVersionLast="47" xr6:coauthVersionMax="47" xr10:uidLastSave="{00000000-0000-0000-0000-000000000000}"/>
  <bookViews>
    <workbookView xWindow="-28920" yWindow="-120" windowWidth="29040" windowHeight="15720" tabRatio="782" activeTab="1" xr2:uid="{D6AA7B77-6C25-49CC-BC6D-BF3CEBA0CCB1}"/>
  </bookViews>
  <sheets>
    <sheet name="Plots" sheetId="10" r:id="rId1"/>
    <sheet name="Vals" sheetId="1" r:id="rId2"/>
    <sheet name="ThreeParticleAngleWall0C0" sheetId="6" r:id="rId3"/>
    <sheet name="ThreeParticleAngleWall0C1" sheetId="7" r:id="rId4"/>
    <sheet name="ThreeParticleAngleWall1C0" sheetId="8" r:id="rId5"/>
    <sheet name="ThreeParticleAngleWall2C0" sheetId="9" r:id="rId6"/>
  </sheets>
  <definedNames>
    <definedName name="_xleta.T" hidden="1" xlm="1">#NAME?</definedName>
    <definedName name="ExternalData_1" localSheetId="2" hidden="1">ThreeParticleAngleWall0C0!$A$1:$AA$94</definedName>
    <definedName name="ExternalData_1" localSheetId="3" hidden="1">ThreeParticleAngleWall0C1!$A$1:$AA$94</definedName>
    <definedName name="ExternalData_1" localSheetId="4" hidden="1">ThreeParticleAngleWall1C0!$A$1:$AA$94</definedName>
    <definedName name="ExternalData_1" localSheetId="5" hidden="1">ThreeParticleAngleWall2C0!$A$1:$AA$94</definedName>
    <definedName name="ExternalData_2" localSheetId="3" hidden="1">ThreeParticleAngleWall0C1!$A$1:$X$42</definedName>
    <definedName name="ExternalData_3" localSheetId="4" hidden="1">ThreeParticleAngleWall1C0!$A$1:$X$42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3" i="1"/>
  <c r="B2" i="1"/>
  <c r="E2" i="1"/>
  <c r="B6" i="1"/>
  <c r="J2" i="1" l="1"/>
  <c r="E6" i="1"/>
  <c r="E5" i="1"/>
  <c r="E3" i="1"/>
  <c r="B7" i="1" l="1"/>
  <c r="F7" i="1" s="1"/>
  <c r="E7" i="1"/>
  <c r="D7" i="1"/>
  <c r="C7" i="1"/>
  <c r="F6" i="1"/>
  <c r="F3" i="1"/>
  <c r="H3" i="1" s="1"/>
  <c r="F5" i="1"/>
  <c r="E4" i="1"/>
  <c r="B4" i="1"/>
  <c r="F4" i="1" s="1"/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BE7BB1-83B1-412F-A04D-7460110A924D}" keepAlive="1" name="Query - ThreeParticleAngleWall0C0" description="Connection to the 'ThreeParticleAngleWall0C0' query in the workbook." type="5" refreshedVersion="8" background="1" saveData="1">
    <dbPr connection="Provider=Microsoft.Mashup.OleDb.1;Data Source=$Workbook$;Location=ThreeParticleAngleWall0C0;Extended Properties=&quot;&quot;" command="SELECT * FROM [ThreeParticleAngleWall0C0]"/>
  </connection>
  <connection id="2" xr16:uid="{0CCBEEAA-20A0-46D5-8DB1-E9BCE7342E7C}" keepAlive="1" name="Query - ThreeParticleAngleWall0C1" description="Connection to the 'ThreeParticleAngleWall0C1' query in the workbook." type="5" refreshedVersion="8" background="1" saveData="1">
    <dbPr connection="Provider=Microsoft.Mashup.OleDb.1;Data Source=$Workbook$;Location=ThreeParticleAngleWall0C1;Extended Properties=&quot;&quot;" command="SELECT * FROM [ThreeParticleAngleWall0C1]"/>
  </connection>
  <connection id="3" xr16:uid="{ABFBB842-B467-40B8-AADB-EBFB0B6118C2}" keepAlive="1" name="Query - ThreeParticleAngleWall1C0" description="Connection to the 'ThreeParticleAngleWall1C0' query in the workbook." type="5" refreshedVersion="8" background="1" saveData="1">
    <dbPr connection="Provider=Microsoft.Mashup.OleDb.1;Data Source=$Workbook$;Location=ThreeParticleAngleWall1C0;Extended Properties=&quot;&quot;" command="SELECT * FROM [ThreeParticleAngleWall1C0]"/>
  </connection>
  <connection id="4" xr16:uid="{9900FDAD-E6AC-436F-BE25-56FA92D1ACFD}" keepAlive="1" name="Query - ThreeParticleAngleWall2C0" description="Connection to the 'ThreeParticleAngleWall2C0' query in the workbook." type="5" refreshedVersion="8" background="1" saveData="1">
    <dbPr connection="Provider=Microsoft.Mashup.OleDb.1;Data Source=$Workbook$;Location=ThreeParticleAngleWall2C0;Extended Properties=&quot;&quot;" command="SELECT * FROM [ThreeParticleAngleWall2C0]"/>
  </connection>
</connections>
</file>

<file path=xl/sharedStrings.xml><?xml version="1.0" encoding="utf-8"?>
<sst xmlns="http://schemas.openxmlformats.org/spreadsheetml/2006/main" count="1984" uniqueCount="1049">
  <si>
    <t>P</t>
  </si>
  <si>
    <t>t</t>
  </si>
  <si>
    <t>iter</t>
  </si>
  <si>
    <t>vx</t>
  </si>
  <si>
    <t>vy</t>
  </si>
  <si>
    <t>pen_factor</t>
  </si>
  <si>
    <t>v_mag</t>
  </si>
  <si>
    <t>vel_mag_in</t>
  </si>
  <si>
    <t>imom</t>
  </si>
  <si>
    <t>imomx</t>
  </si>
  <si>
    <t>imomy</t>
  </si>
  <si>
    <t>cur_area</t>
  </si>
  <si>
    <t>area_diff</t>
  </si>
  <si>
    <t>vx_rel</t>
  </si>
  <si>
    <t>vy_rel</t>
  </si>
  <si>
    <t>v_rel</t>
  </si>
  <si>
    <t>col_acc_x</t>
  </si>
  <si>
    <t>col_acc_y</t>
  </si>
  <si>
    <t>v_ang</t>
  </si>
  <si>
    <t>P0 C0</t>
  </si>
  <si>
    <t>P0 C1</t>
  </si>
  <si>
    <t xml:space="preserve">P1 C0 </t>
  </si>
  <si>
    <t>P2 C0</t>
  </si>
  <si>
    <t>Sum</t>
  </si>
  <si>
    <t>Part</t>
  </si>
  <si>
    <t>col_acc_mag</t>
  </si>
  <si>
    <t>v_coll</t>
  </si>
  <si>
    <t>P1 IMOM Diff</t>
  </si>
  <si>
    <t>rel-mag diff</t>
  </si>
  <si>
    <t>Ending Momentum</t>
  </si>
  <si>
    <t>Starting Relativef Velocity</t>
  </si>
  <si>
    <t>Starting Velocvity Magnitude</t>
  </si>
  <si>
    <t>Ending Velocity Magnitude</t>
  </si>
  <si>
    <t>radius</t>
  </si>
  <si>
    <t>area</t>
  </si>
  <si>
    <t>mom-pre_area</t>
  </si>
  <si>
    <t>tot_area</t>
  </si>
  <si>
    <t>ang_acc</t>
  </si>
  <si>
    <t>ang_diff</t>
  </si>
  <si>
    <t>p_mom_x</t>
  </si>
  <si>
    <t>p_mom_y</t>
  </si>
  <si>
    <t>p_mom</t>
  </si>
  <si>
    <t>0.00000000</t>
  </si>
  <si>
    <t>-1.00000000</t>
  </si>
  <si>
    <t>3.66821993</t>
  </si>
  <si>
    <t>0.99992335</t>
  </si>
  <si>
    <t>-0.00004456</t>
  </si>
  <si>
    <t>3.67850338</t>
  </si>
  <si>
    <t>0.01028345</t>
  </si>
  <si>
    <t>0.99924435</t>
  </si>
  <si>
    <t>-0.00044873</t>
  </si>
  <si>
    <t>0.99924445</t>
  </si>
  <si>
    <t>3.68915464</t>
  </si>
  <si>
    <t>0.01065126</t>
  </si>
  <si>
    <t>0.99767010</t>
  </si>
  <si>
    <t>-0.00140864</t>
  </si>
  <si>
    <t>0.99767109</t>
  </si>
  <si>
    <t>3.70019063</t>
  </si>
  <si>
    <t>0.01103599</t>
  </si>
  <si>
    <t>0.99500668</t>
  </si>
  <si>
    <t>-0.00307327</t>
  </si>
  <si>
    <t>0.99501143</t>
  </si>
  <si>
    <t>3.71162853</t>
  </si>
  <si>
    <t>0.01143790</t>
  </si>
  <si>
    <t>0.98826639</t>
  </si>
  <si>
    <t>-0.00704375</t>
  </si>
  <si>
    <t>0.98829149</t>
  </si>
  <si>
    <t>3.72348186</t>
  </si>
  <si>
    <t>0.01185333</t>
  </si>
  <si>
    <t>0.98035549</t>
  </si>
  <si>
    <t>-0.01089759</t>
  </si>
  <si>
    <t>0.98041606</t>
  </si>
  <si>
    <t>3.73575728</t>
  </si>
  <si>
    <t>0.01227542</t>
  </si>
  <si>
    <t>0.96957547</t>
  </si>
  <si>
    <t>-0.01533377</t>
  </si>
  <si>
    <t>0.96969672</t>
  </si>
  <si>
    <t>3.74845557</t>
  </si>
  <si>
    <t>0.01269829</t>
  </si>
  <si>
    <t>0.95567878</t>
  </si>
  <si>
    <t>-0.02027963</t>
  </si>
  <si>
    <t>0.95589393</t>
  </si>
  <si>
    <t>3.76157207</t>
  </si>
  <si>
    <t>0.01311650</t>
  </si>
  <si>
    <t>0.93850744</t>
  </si>
  <si>
    <t>-0.02568208</t>
  </si>
  <si>
    <t>0.93885877</t>
  </si>
  <si>
    <t>3.77509664</t>
  </si>
  <si>
    <t>0.01352457</t>
  </si>
  <si>
    <t>0.91797412</t>
  </si>
  <si>
    <t>-0.03149703</t>
  </si>
  <si>
    <t>0.91851432</t>
  </si>
  <si>
    <t>3.78901352</t>
  </si>
  <si>
    <t>0.01391688</t>
  </si>
  <si>
    <t>0.89405201</t>
  </si>
  <si>
    <t>-0.03768471</t>
  </si>
  <si>
    <t>0.89484587</t>
  </si>
  <si>
    <t>3.80330111</t>
  </si>
  <si>
    <t>0.01428760</t>
  </si>
  <si>
    <t>0.86676779</t>
  </si>
  <si>
    <t>-0.04420691</t>
  </si>
  <si>
    <t>0.86789438</t>
  </si>
  <si>
    <t>3.81793190</t>
  </si>
  <si>
    <t>0.01463079</t>
  </si>
  <si>
    <t>0.83619604</t>
  </si>
  <si>
    <t>-0.05102535</t>
  </si>
  <si>
    <t>0.83775139</t>
  </si>
  <si>
    <t>3.83287236</t>
  </si>
  <si>
    <t>0.01494046</t>
  </si>
  <si>
    <t>0.80245403</t>
  </si>
  <si>
    <t>-0.05810042</t>
  </si>
  <si>
    <t>0.80455461</t>
  </si>
  <si>
    <t>3.84808303</t>
  </si>
  <si>
    <t>0.01521067</t>
  </si>
  <si>
    <t>0.76569671</t>
  </si>
  <si>
    <t>-0.06539036</t>
  </si>
  <si>
    <t>0.76848380</t>
  </si>
  <si>
    <t>3.86351870</t>
  </si>
  <si>
    <t>0.01543567</t>
  </si>
  <si>
    <t>0.72611164</t>
  </si>
  <si>
    <t>-0.07285057</t>
  </si>
  <si>
    <t>0.72975702</t>
  </si>
  <si>
    <t>3.87912876</t>
  </si>
  <si>
    <t>0.01561006</t>
  </si>
  <si>
    <t>0.68391376</t>
  </si>
  <si>
    <t>-0.08043325</t>
  </si>
  <si>
    <t>0.68862729</t>
  </si>
  <si>
    <t>3.89485772</t>
  </si>
  <si>
    <t>0.01572896</t>
  </si>
  <si>
    <t>0.63934027</t>
  </si>
  <si>
    <t>-0.08808706</t>
  </si>
  <si>
    <t>0.64537997</t>
  </si>
  <si>
    <t>3.91064586</t>
  </si>
  <si>
    <t>0.01578814</t>
  </si>
  <si>
    <t>0.59264527</t>
  </si>
  <si>
    <t>-0.09575702</t>
  </si>
  <si>
    <t>0.60033143</t>
  </si>
  <si>
    <t>3.92643008</t>
  </si>
  <si>
    <t>0.01578422</t>
  </si>
  <si>
    <t>0.54409471</t>
  </si>
  <si>
    <t>-0.10338466</t>
  </si>
  <si>
    <t>0.55382979</t>
  </si>
  <si>
    <t>3.94214485</t>
  </si>
  <si>
    <t>0.01571477</t>
  </si>
  <si>
    <t>0.49396132</t>
  </si>
  <si>
    <t>-0.11090819</t>
  </si>
  <si>
    <t>0.50625924</t>
  </si>
  <si>
    <t>3.95772330</t>
  </si>
  <si>
    <t>0.01557845</t>
  </si>
  <si>
    <t>0.44252003</t>
  </si>
  <si>
    <t>-0.11826298</t>
  </si>
  <si>
    <t>0.45805033</t>
  </si>
  <si>
    <t>3.97309835</t>
  </si>
  <si>
    <t>0.01537505</t>
  </si>
  <si>
    <t>0.39004359</t>
  </si>
  <si>
    <t>-0.12538214</t>
  </si>
  <si>
    <t>0.40970073</t>
  </si>
  <si>
    <t>3.98820392</t>
  </si>
  <si>
    <t>0.01510556</t>
  </si>
  <si>
    <t>0.33679883</t>
  </si>
  <si>
    <t>-0.13219728</t>
  </si>
  <si>
    <t>0.36181428</t>
  </si>
  <si>
    <t>4.00297606</t>
  </si>
  <si>
    <t>0.01477214</t>
  </si>
  <si>
    <t>0.28304331</t>
  </si>
  <si>
    <t>-0.13863940</t>
  </si>
  <si>
    <t>0.31517360</t>
  </si>
  <si>
    <t>4.01735409</t>
  </si>
  <si>
    <t>0.01437803</t>
  </si>
  <si>
    <t>0.22902269</t>
  </si>
  <si>
    <t>-0.14463985</t>
  </si>
  <si>
    <t>0.27087281</t>
  </si>
  <si>
    <t>4.03128160</t>
  </si>
  <si>
    <t>0.01392752</t>
  </si>
  <si>
    <t>0.17496856</t>
  </si>
  <si>
    <t>-0.15013143</t>
  </si>
  <si>
    <t>0.23055031</t>
  </si>
  <si>
    <t>4.04470734</t>
  </si>
  <si>
    <t>0.01342574</t>
  </si>
  <si>
    <t>0.12109700</t>
  </si>
  <si>
    <t>-0.15504946</t>
  </si>
  <si>
    <t>0.19673540</t>
  </si>
  <si>
    <t>4.05758588</t>
  </si>
  <si>
    <t>0.01287855</t>
  </si>
  <si>
    <t>0.06760757</t>
  </si>
  <si>
    <t>-0.15933287</t>
  </si>
  <si>
    <t>0.17308307</t>
  </si>
  <si>
    <t>4.06987822</t>
  </si>
  <si>
    <t>0.01229234</t>
  </si>
  <si>
    <t>0.01468293</t>
  </si>
  <si>
    <t>-0.16292531</t>
  </si>
  <si>
    <t>0.16358559</t>
  </si>
  <si>
    <t>4.08155204</t>
  </si>
  <si>
    <t>0.01167382</t>
  </si>
  <si>
    <t>-0.03751117</t>
  </si>
  <si>
    <t>-0.16577609</t>
  </si>
  <si>
    <t>0.16996706</t>
  </si>
  <si>
    <t>4.09258194</t>
  </si>
  <si>
    <t>0.01102989</t>
  </si>
  <si>
    <t>-0.08882548</t>
  </si>
  <si>
    <t>-0.16784110</t>
  </si>
  <si>
    <t>0.18989629</t>
  </si>
  <si>
    <t>4.10294934</t>
  </si>
  <si>
    <t>0.01036740</t>
  </si>
  <si>
    <t>-0.13912652</t>
  </si>
  <si>
    <t>-0.16908360</t>
  </si>
  <si>
    <t>0.21896450</t>
  </si>
  <si>
    <t>4.11264238</t>
  </si>
  <si>
    <t>0.00969304</t>
  </si>
  <si>
    <t>-0.18829566</t>
  </si>
  <si>
    <t>-0.16947483</t>
  </si>
  <si>
    <t>0.25333175</t>
  </si>
  <si>
    <t>4.12165555</t>
  </si>
  <si>
    <t>0.00901317</t>
  </si>
  <si>
    <t>-0.23622801</t>
  </si>
  <si>
    <t>-0.16899456</t>
  </si>
  <si>
    <t>0.29045281</t>
  </si>
  <si>
    <t>4.12998931</t>
  </si>
  <si>
    <t>0.00833376</t>
  </si>
  <si>
    <t>-0.28283127</t>
  </si>
  <si>
    <t>-0.16763139</t>
  </si>
  <si>
    <t>0.32877623</t>
  </si>
  <si>
    <t>4.13764958</t>
  </si>
  <si>
    <t>0.00766027</t>
  </si>
  <si>
    <t>-0.32802450</t>
  </si>
  <si>
    <t>-0.16538296</t>
  </si>
  <si>
    <t>0.36735759</t>
  </si>
  <si>
    <t>4.14464718</t>
  </si>
  <si>
    <t>0.00699760</t>
  </si>
  <si>
    <t>-0.37173697</t>
  </si>
  <si>
    <t>-0.16225601</t>
  </si>
  <si>
    <t>0.40560496</t>
  </si>
  <si>
    <t>4.15099726</t>
  </si>
  <si>
    <t>0.00635008</t>
  </si>
  <si>
    <t>-0.41390701</t>
  </si>
  <si>
    <t>-0.15826623</t>
  </si>
  <si>
    <t>0.44313340</t>
  </si>
  <si>
    <t>4.15671870</t>
  </si>
  <si>
    <t>0.00572144</t>
  </si>
  <si>
    <t>-0.45448108</t>
  </si>
  <si>
    <t>-0.15343811</t>
  </si>
  <si>
    <t>0.47968354</t>
  </si>
  <si>
    <t>4.16183356</t>
  </si>
  <si>
    <t>0.00511485</t>
  </si>
  <si>
    <t>-0.49341280</t>
  </si>
  <si>
    <t>-0.14780451</t>
  </si>
  <si>
    <t>0.51507511</t>
  </si>
  <si>
    <t>4.16636646</t>
  </si>
  <si>
    <t>0.00453290</t>
  </si>
  <si>
    <t>-0.53066230</t>
  </si>
  <si>
    <t>-0.14140625</t>
  </si>
  <si>
    <t>0.54917957</t>
  </si>
  <si>
    <t>4.17034412</t>
  </si>
  <si>
    <t>0.00397766</t>
  </si>
  <si>
    <t>-0.56619553</t>
  </si>
  <si>
    <t>-0.13429156</t>
  </si>
  <si>
    <t>0.58190343</t>
  </si>
  <si>
    <t>4.17379484</t>
  </si>
  <si>
    <t>0.00345072</t>
  </si>
  <si>
    <t>-0.59998391</t>
  </si>
  <si>
    <t>-0.12651541</t>
  </si>
  <si>
    <t>0.61317766</t>
  </si>
  <si>
    <t>4.17674808</t>
  </si>
  <si>
    <t>0.00295323</t>
  </si>
  <si>
    <t>-0.63200392</t>
  </si>
  <si>
    <t>-0.11813886</t>
  </si>
  <si>
    <t>0.64295081</t>
  </si>
  <si>
    <t>4.17923402</t>
  </si>
  <si>
    <t>0.00248594</t>
  </si>
  <si>
    <t>-0.66223702</t>
  </si>
  <si>
    <t>-0.10922833</t>
  </si>
  <si>
    <t>0.67118455</t>
  </si>
  <si>
    <t>4.18128328</t>
  </si>
  <si>
    <t>0.00204926</t>
  </si>
  <si>
    <t>-0.69066954</t>
  </si>
  <si>
    <t>-0.09985478</t>
  </si>
  <si>
    <t>0.69785055</t>
  </si>
  <si>
    <t>4.18292657</t>
  </si>
  <si>
    <t>0.00164329</t>
  </si>
  <si>
    <t>-0.71729279</t>
  </si>
  <si>
    <t>-0.09009299</t>
  </si>
  <si>
    <t>0.72292855</t>
  </si>
  <si>
    <t>4.18419445</t>
  </si>
  <si>
    <t>0.00126788</t>
  </si>
  <si>
    <t>-0.74210320</t>
  </si>
  <si>
    <t>-0.08002071</t>
  </si>
  <si>
    <t>0.74640503</t>
  </si>
  <si>
    <t>4.18511710</t>
  </si>
  <si>
    <t>0.00092265</t>
  </si>
  <si>
    <t>-0.76510258</t>
  </si>
  <si>
    <t>-0.06971797</t>
  </si>
  <si>
    <t>0.76827245</t>
  </si>
  <si>
    <t>4.18572413</t>
  </si>
  <si>
    <t>0.00060703</t>
  </si>
  <si>
    <t>-0.78629847</t>
  </si>
  <si>
    <t>-0.05926628</t>
  </si>
  <si>
    <t>0.78852887</t>
  </si>
  <si>
    <t>4.18604442</t>
  </si>
  <si>
    <t>0.00032029</t>
  </si>
  <si>
    <t>-0.80570448</t>
  </si>
  <si>
    <t>-0.04874799</t>
  </si>
  <si>
    <t>0.80717785</t>
  </si>
  <si>
    <t>4.18610601</t>
  </si>
  <si>
    <t>0.00006159</t>
  </si>
  <si>
    <t>-0.82334082</t>
  </si>
  <si>
    <t>-0.03824566</t>
  </si>
  <si>
    <t>0.82422863</t>
  </si>
  <si>
    <t>4.18593597</t>
  </si>
  <si>
    <t>-0.00017004</t>
  </si>
  <si>
    <t>-0.83923473</t>
  </si>
  <si>
    <t>-0.02784159</t>
  </si>
  <si>
    <t>0.83969643</t>
  </si>
  <si>
    <t>4.18556032</t>
  </si>
  <si>
    <t>-0.00037565</t>
  </si>
  <si>
    <t>-0.85342114</t>
  </si>
  <si>
    <t>-0.01761739</t>
  </si>
  <si>
    <t>0.85360296</t>
  </si>
  <si>
    <t>4.18500397</t>
  </si>
  <si>
    <t>-0.00055635</t>
  </si>
  <si>
    <t>-0.86594326</t>
  </si>
  <si>
    <t>-0.00765384</t>
  </si>
  <si>
    <t>0.86597708</t>
  </si>
  <si>
    <t>4.18429064</t>
  </si>
  <si>
    <t>-0.00071333</t>
  </si>
  <si>
    <t>-0.87685344</t>
  </si>
  <si>
    <t>0.00196910</t>
  </si>
  <si>
    <t>0.87685565</t>
  </si>
  <si>
    <t>4.18344282</t>
  </si>
  <si>
    <t>-0.00084782</t>
  </si>
  <si>
    <t>-0.88621413</t>
  </si>
  <si>
    <t>0.01117183</t>
  </si>
  <si>
    <t>0.88628454</t>
  </si>
  <si>
    <t>4.18248175</t>
  </si>
  <si>
    <t>-0.00096107</t>
  </si>
  <si>
    <t>-0.89409921</t>
  </si>
  <si>
    <t>0.01987410</t>
  </si>
  <si>
    <t>0.89432007</t>
  </si>
  <si>
    <t>4.18142737</t>
  </si>
  <si>
    <t>-0.00105439</t>
  </si>
  <si>
    <t>-0.90059602</t>
  </si>
  <si>
    <t>0.02799293</t>
  </si>
  <si>
    <t>0.90103096</t>
  </si>
  <si>
    <t>4.18029826</t>
  </si>
  <si>
    <t>-0.00112910</t>
  </si>
  <si>
    <t>-0.90580860</t>
  </si>
  <si>
    <t>0.03543842</t>
  </si>
  <si>
    <t>0.90650157</t>
  </si>
  <si>
    <t>4.17911170</t>
  </si>
  <si>
    <t>-0.00118657</t>
  </si>
  <si>
    <t>-0.90986440</t>
  </si>
  <si>
    <t>0.04210412</t>
  </si>
  <si>
    <t>0.91083807</t>
  </si>
  <si>
    <t>2.48598763</t>
  </si>
  <si>
    <t>2.47680745</t>
  </si>
  <si>
    <t>-0.00918018</t>
  </si>
  <si>
    <t>2.46528308</t>
  </si>
  <si>
    <t>-0.01152437</t>
  </si>
  <si>
    <t>2.45284352</t>
  </si>
  <si>
    <t>-0.01243956</t>
  </si>
  <si>
    <t>2.43988838</t>
  </si>
  <si>
    <t>-0.01295514</t>
  </si>
  <si>
    <t>2.42655289</t>
  </si>
  <si>
    <t>-0.01333549</t>
  </si>
  <si>
    <t>2.41290720</t>
  </si>
  <si>
    <t>-0.01364569</t>
  </si>
  <si>
    <t>2.39900152</t>
  </si>
  <si>
    <t>-0.01390568</t>
  </si>
  <si>
    <t>2.38487993</t>
  </si>
  <si>
    <t>-0.01412158</t>
  </si>
  <si>
    <t>2.37058550</t>
  </si>
  <si>
    <t>-0.01429443</t>
  </si>
  <si>
    <t>2.35616226</t>
  </si>
  <si>
    <t>-0.01442324</t>
  </si>
  <si>
    <t>2.34165599</t>
  </si>
  <si>
    <t>-0.01450627</t>
  </si>
  <si>
    <t>2.32711435</t>
  </si>
  <si>
    <t>-0.01454164</t>
  </si>
  <si>
    <t>2.31258669</t>
  </si>
  <si>
    <t>-0.01452766</t>
  </si>
  <si>
    <t>2.29812364</t>
  </si>
  <si>
    <t>-0.01446305</t>
  </si>
  <si>
    <t>2.28377659</t>
  </si>
  <si>
    <t>-0.01434706</t>
  </si>
  <si>
    <t>2.26959703</t>
  </si>
  <si>
    <t>-0.01417956</t>
  </si>
  <si>
    <t>2.25563594</t>
  </si>
  <si>
    <t>-0.01396109</t>
  </si>
  <si>
    <t>2.24194306</t>
  </si>
  <si>
    <t>-0.01369288</t>
  </si>
  <si>
    <t>2.22856622</t>
  </si>
  <si>
    <t>-0.01337684</t>
  </si>
  <si>
    <t>2.21555070</t>
  </si>
  <si>
    <t>-0.01301552</t>
  </si>
  <si>
    <t>2.20293864</t>
  </si>
  <si>
    <t>-0.01261206</t>
  </si>
  <si>
    <t>2.19076848</t>
  </si>
  <si>
    <t>-0.01217015</t>
  </si>
  <si>
    <t>2.17907458</t>
  </si>
  <si>
    <t>-0.01169390</t>
  </si>
  <si>
    <t>2.16788681</t>
  </si>
  <si>
    <t>-0.01118777</t>
  </si>
  <si>
    <t>2.15723031</t>
  </si>
  <si>
    <t>-0.01065650</t>
  </si>
  <si>
    <t>2.14712533</t>
  </si>
  <si>
    <t>-0.01010497</t>
  </si>
  <si>
    <t>2.13758718</t>
  </si>
  <si>
    <t>-0.00953815</t>
  </si>
  <si>
    <t>2.12862621</t>
  </si>
  <si>
    <t>-0.00896097</t>
  </si>
  <si>
    <t>2.12024793</t>
  </si>
  <si>
    <t>-0.00837829</t>
  </si>
  <si>
    <t>2.11245315</t>
  </si>
  <si>
    <t>-0.00779477</t>
  </si>
  <si>
    <t>2.10523827</t>
  </si>
  <si>
    <t>-0.00721489</t>
  </si>
  <si>
    <t>2.09859547</t>
  </si>
  <si>
    <t>-0.00664280</t>
  </si>
  <si>
    <t>2.09251311</t>
  </si>
  <si>
    <t>-0.00608235</t>
  </si>
  <si>
    <t>2.08697606</t>
  </si>
  <si>
    <t>-0.00553706</t>
  </si>
  <si>
    <t>2.08196602</t>
  </si>
  <si>
    <t>-0.00501003</t>
  </si>
  <si>
    <t>2.07746201</t>
  </si>
  <si>
    <t>-0.00450401</t>
  </si>
  <si>
    <t>2.07344069</t>
  </si>
  <si>
    <t>-0.00402132</t>
  </si>
  <si>
    <t>2.06987679</t>
  </si>
  <si>
    <t>-0.00356390</t>
  </si>
  <si>
    <t>2.06674351</t>
  </si>
  <si>
    <t>-0.00313328</t>
  </si>
  <si>
    <t>2.06401288</t>
  </si>
  <si>
    <t>-0.00273063</t>
  </si>
  <si>
    <t>2.06165615</t>
  </si>
  <si>
    <t>-0.00235673</t>
  </si>
  <si>
    <t>2.05964414</t>
  </si>
  <si>
    <t>-0.00201201</t>
  </si>
  <si>
    <t>2.05794756</t>
  </si>
  <si>
    <t>-0.00169659</t>
  </si>
  <si>
    <t>2.05653728</t>
  </si>
  <si>
    <t>-0.00141027</t>
  </si>
  <si>
    <t>2.05538469</t>
  </si>
  <si>
    <t>-0.00115260</t>
  </si>
  <si>
    <t>2.05446185</t>
  </si>
  <si>
    <t>-0.00092284</t>
  </si>
  <si>
    <t>2.05374177</t>
  </si>
  <si>
    <t>-0.00072008</t>
  </si>
  <si>
    <t>2.05319858</t>
  </si>
  <si>
    <t>-0.00054318</t>
  </si>
  <si>
    <t>2.05280772</t>
  </si>
  <si>
    <t>-0.00039087</t>
  </si>
  <si>
    <t>2.05254601</t>
  </si>
  <si>
    <t>-0.00026171</t>
  </si>
  <si>
    <t>2.05239184</t>
  </si>
  <si>
    <t>-0.00015417</t>
  </si>
  <si>
    <t>2.05232522</t>
  </si>
  <si>
    <t>-0.00006662</t>
  </si>
  <si>
    <t>2.05232786</t>
  </si>
  <si>
    <t>0.00000264</t>
  </si>
  <si>
    <t>2.05238326</t>
  </si>
  <si>
    <t>0.00005539</t>
  </si>
  <si>
    <t>2.05247670</t>
  </si>
  <si>
    <t>0.00009345</t>
  </si>
  <si>
    <t>2.05259541</t>
  </si>
  <si>
    <t>0.00011870</t>
  </si>
  <si>
    <t>2.05272853</t>
  </si>
  <si>
    <t>0.00013312</t>
  </si>
  <si>
    <t>2.05286733</t>
  </si>
  <si>
    <t>0.00013880</t>
  </si>
  <si>
    <t>-0.91293386</t>
  </si>
  <si>
    <t>0.04783606</t>
  </si>
  <si>
    <t>0.91418627</t>
  </si>
  <si>
    <t>2.05308409</t>
  </si>
  <si>
    <t>0.00021676</t>
  </si>
  <si>
    <t>2.05321870</t>
  </si>
  <si>
    <t>0.00013461</t>
  </si>
  <si>
    <t>2.05334994</t>
  </si>
  <si>
    <t>0.00013124</t>
  </si>
  <si>
    <t>1.00000000</t>
  </si>
  <si>
    <t>0.52662727</t>
  </si>
  <si>
    <t>-0.99992335</t>
  </si>
  <si>
    <t>0.00004456</t>
  </si>
  <si>
    <t>0.53691072</t>
  </si>
  <si>
    <t>-0.99924435</t>
  </si>
  <si>
    <t>0.00044873</t>
  </si>
  <si>
    <t>0.54756198</t>
  </si>
  <si>
    <t>-0.99767010</t>
  </si>
  <si>
    <t>0.00140864</t>
  </si>
  <si>
    <t>0.55859798</t>
  </si>
  <si>
    <t>-0.99500668</t>
  </si>
  <si>
    <t>0.00307327</t>
  </si>
  <si>
    <t>0.57003587</t>
  </si>
  <si>
    <t>-0.99111151</t>
  </si>
  <si>
    <t>0.00557015</t>
  </si>
  <si>
    <t>0.99112716</t>
  </si>
  <si>
    <t>0.58188920</t>
  </si>
  <si>
    <t>-0.98588091</t>
  </si>
  <si>
    <t>0.00901121</t>
  </si>
  <si>
    <t>0.98592209</t>
  </si>
  <si>
    <t>0.59416462</t>
  </si>
  <si>
    <t>-0.97924033</t>
  </si>
  <si>
    <t>0.01349762</t>
  </si>
  <si>
    <t>0.97933335</t>
  </si>
  <si>
    <t>0.60686291</t>
  </si>
  <si>
    <t>-0.97114173</t>
  </si>
  <si>
    <t>0.01912015</t>
  </si>
  <si>
    <t>0.97132994</t>
  </si>
  <si>
    <t>0.61997941</t>
  </si>
  <si>
    <t>-0.96156122</t>
  </si>
  <si>
    <t>0.02595946</t>
  </si>
  <si>
    <t>0.96191157</t>
  </si>
  <si>
    <t>0.63350399</t>
  </si>
  <si>
    <t>-0.95049733</t>
  </si>
  <si>
    <t>0.03408584</t>
  </si>
  <si>
    <t>0.95110831</t>
  </si>
  <si>
    <t>0.64742086</t>
  </si>
  <si>
    <t>-0.93796950</t>
  </si>
  <si>
    <t>0.04355866</t>
  </si>
  <si>
    <t>0.93898037</t>
  </si>
  <si>
    <t>0.66170846</t>
  </si>
  <si>
    <t>-0.92401663</t>
  </si>
  <si>
    <t>0.05442580</t>
  </si>
  <si>
    <t>0.92561812</t>
  </si>
  <si>
    <t>0.67633925</t>
  </si>
  <si>
    <t>-0.90869550</t>
  </si>
  <si>
    <t>0.06672292</t>
  </si>
  <si>
    <t>0.91114184</t>
  </si>
  <si>
    <t>0.69127971</t>
  </si>
  <si>
    <t>-0.89207914</t>
  </si>
  <si>
    <t>0.08047278</t>
  </si>
  <si>
    <t>0.89570144</t>
  </si>
  <si>
    <t>0.70649038</t>
  </si>
  <si>
    <t>-0.87425500</t>
  </si>
  <si>
    <t>0.09568470</t>
  </si>
  <si>
    <t>0.87947562</t>
  </si>
  <si>
    <t>0.72192604</t>
  </si>
  <si>
    <t>-0.85532294</t>
  </si>
  <si>
    <t>0.11235403</t>
  </si>
  <si>
    <t>0.86267071</t>
  </si>
  <si>
    <t>0.73753611</t>
  </si>
  <si>
    <t>-0.83539317</t>
  </si>
  <si>
    <t>0.13046185</t>
  </si>
  <si>
    <t>0.84551880</t>
  </si>
  <si>
    <t>0.75326507</t>
  </si>
  <si>
    <t>-0.81458402</t>
  </si>
  <si>
    <t>0.14997487</t>
  </si>
  <si>
    <t>0.82827507</t>
  </si>
  <si>
    <t>0.76905321</t>
  </si>
  <si>
    <t>-0.79301971</t>
  </si>
  <si>
    <t>0.17084553</t>
  </si>
  <si>
    <t>0.81121419</t>
  </si>
  <si>
    <t>0.78483743</t>
  </si>
  <si>
    <t>-0.77082807</t>
  </si>
  <si>
    <t>0.19301229</t>
  </si>
  <si>
    <t>0.79462548</t>
  </si>
  <si>
    <t>0.80055220</t>
  </si>
  <si>
    <t>-0.74813839</t>
  </si>
  <si>
    <t>0.21640029</t>
  </si>
  <si>
    <t>0.77880687</t>
  </si>
  <si>
    <t>0.81613065</t>
  </si>
  <si>
    <t>-0.72507933</t>
  </si>
  <si>
    <t>0.24092209</t>
  </si>
  <si>
    <t>0.76405725</t>
  </si>
  <si>
    <t>0.83150570</t>
  </si>
  <si>
    <t>-0.70177702</t>
  </si>
  <si>
    <t>0.26647877</t>
  </si>
  <si>
    <t>0.75066765</t>
  </si>
  <si>
    <t>0.84661126</t>
  </si>
  <si>
    <t>-0.67835336</t>
  </si>
  <si>
    <t>0.29296115</t>
  </si>
  <si>
    <t>0.73891103</t>
  </si>
  <si>
    <t>0.86138340</t>
  </si>
  <si>
    <t>-0.65492461</t>
  </si>
  <si>
    <t>0.32025122</t>
  </si>
  <si>
    <t>0.72903161</t>
  </si>
  <si>
    <t>0.87576143</t>
  </si>
  <si>
    <t>-0.63160015</t>
  </si>
  <si>
    <t>0.34822369</t>
  </si>
  <si>
    <t>0.72123400</t>
  </si>
  <si>
    <t>0.88968895</t>
  </si>
  <si>
    <t>-0.60848166</t>
  </si>
  <si>
    <t>0.37674762</t>
  </si>
  <si>
    <t>0.71567360</t>
  </si>
  <si>
    <t>0.90311468</t>
  </si>
  <si>
    <t>-0.58566244</t>
  </si>
  <si>
    <t>0.40568812</t>
  </si>
  <si>
    <t>0.71244883</t>
  </si>
  <si>
    <t>0.91599323</t>
  </si>
  <si>
    <t>-0.56322708</t>
  </si>
  <si>
    <t>0.43490802</t>
  </si>
  <si>
    <t>0.71159660</t>
  </si>
  <si>
    <t>0.92828557</t>
  </si>
  <si>
    <t>-0.54125135</t>
  </si>
  <si>
    <t>0.46426952</t>
  </si>
  <si>
    <t>0.71309131</t>
  </si>
  <si>
    <t>0.93995939</t>
  </si>
  <si>
    <t>-0.51980230</t>
  </si>
  <si>
    <t>0.49363579</t>
  </si>
  <si>
    <t>0.71684777</t>
  </si>
  <si>
    <t>0.95098928</t>
  </si>
  <si>
    <t>-0.49893852</t>
  </si>
  <si>
    <t>0.52287242</t>
  </si>
  <si>
    <t>0.72272762</t>
  </si>
  <si>
    <t>0.96135669</t>
  </si>
  <si>
    <t>-0.47871056</t>
  </si>
  <si>
    <t>0.55184878</t>
  </si>
  <si>
    <t>0.73054834</t>
  </si>
  <si>
    <t>0.97104972</t>
  </si>
  <si>
    <t>-0.45916141</t>
  </si>
  <si>
    <t>0.58043923</t>
  </si>
  <si>
    <t>0.74009385</t>
  </si>
  <si>
    <t>0.98006290</t>
  </si>
  <si>
    <t>-0.44032714</t>
  </si>
  <si>
    <t>0.60852417</t>
  </si>
  <si>
    <t>0.75112559</t>
  </si>
  <si>
    <t>0.98839666</t>
  </si>
  <si>
    <t>-0.42223741</t>
  </si>
  <si>
    <t>0.63599096</t>
  </si>
  <si>
    <t>0.76339304</t>
  </si>
  <si>
    <t>0.99605693</t>
  </si>
  <si>
    <t>-0.40491618</t>
  </si>
  <si>
    <t>0.66273465</t>
  </si>
  <si>
    <t>0.77664299</t>
  </si>
  <si>
    <t>1.00305453</t>
  </si>
  <si>
    <t>-0.38838220</t>
  </si>
  <si>
    <t>0.68865863</t>
  </si>
  <si>
    <t>0.79062724</t>
  </si>
  <si>
    <t>1.00940461</t>
  </si>
  <si>
    <t>-0.37264963</t>
  </si>
  <si>
    <t>0.71367503</t>
  </si>
  <si>
    <t>0.80510856</t>
  </si>
  <si>
    <t>1.01512605</t>
  </si>
  <si>
    <t>-0.35772851</t>
  </si>
  <si>
    <t>0.73770514</t>
  </si>
  <si>
    <t>0.81986497</t>
  </si>
  <si>
    <t>1.02024090</t>
  </si>
  <si>
    <t>-0.34362521</t>
  </si>
  <si>
    <t>0.76067956</t>
  </si>
  <si>
    <t>0.83469257</t>
  </si>
  <si>
    <t>1.02477381</t>
  </si>
  <si>
    <t>-0.33034281</t>
  </si>
  <si>
    <t>0.78253836</t>
  </si>
  <si>
    <t>0.84940723</t>
  </si>
  <si>
    <t>1.02875147</t>
  </si>
  <si>
    <t>-0.31788139</t>
  </si>
  <si>
    <t>0.80323108</t>
  </si>
  <si>
    <t>0.86384532</t>
  </si>
  <si>
    <t>1.03220219</t>
  </si>
  <si>
    <t>-0.30623832</t>
  </si>
  <si>
    <t>0.82271672</t>
  </si>
  <si>
    <t>0.87786372</t>
  </si>
  <si>
    <t>1.03515542</t>
  </si>
  <si>
    <t>-0.29540845</t>
  </si>
  <si>
    <t>0.84096358</t>
  </si>
  <si>
    <t>0.89133938</t>
  </si>
  <si>
    <t>1.03764136</t>
  </si>
  <si>
    <t>-0.28538423</t>
  </si>
  <si>
    <t>0.85794909</t>
  </si>
  <si>
    <t>0.90416857</t>
  </si>
  <si>
    <t>1.03969062</t>
  </si>
  <si>
    <t>-0.27615582</t>
  </si>
  <si>
    <t>0.87365962</t>
  </si>
  <si>
    <t>0.91626588</t>
  </si>
  <si>
    <t>1.04133392</t>
  </si>
  <si>
    <t>-0.26771112</t>
  </si>
  <si>
    <t>0.88809019</t>
  </si>
  <si>
    <t>0.92756316</t>
  </si>
  <si>
    <t>1.04260180</t>
  </si>
  <si>
    <t>-0.26003581</t>
  </si>
  <si>
    <t>0.90124423</t>
  </si>
  <si>
    <t>0.93800841</t>
  </si>
  <si>
    <t>1.04352445</t>
  </si>
  <si>
    <t>-0.25311331</t>
  </si>
  <si>
    <t>0.91313329</t>
  </si>
  <si>
    <t>0.94756464</t>
  </si>
  <si>
    <t>1.04413147</t>
  </si>
  <si>
    <t>-0.24692472</t>
  </si>
  <si>
    <t>0.92377675</t>
  </si>
  <si>
    <t>0.95620881</t>
  </si>
  <si>
    <t>1.04445177</t>
  </si>
  <si>
    <t>-0.24144874</t>
  </si>
  <si>
    <t>0.93320156</t>
  </si>
  <si>
    <t>0.96393083</t>
  </si>
  <si>
    <t>1.04451336</t>
  </si>
  <si>
    <t>-0.23666156</t>
  </si>
  <si>
    <t>0.94144204</t>
  </si>
  <si>
    <t>0.97073261</t>
  </si>
  <si>
    <t>1.04434332</t>
  </si>
  <si>
    <t>-0.23253670</t>
  </si>
  <si>
    <t>0.94853964</t>
  </si>
  <si>
    <t>0.97662724</t>
  </si>
  <si>
    <t>1.04396767</t>
  </si>
  <si>
    <t>-0.22904481</t>
  </si>
  <si>
    <t>0.95454290</t>
  </si>
  <si>
    <t>0.98163826</t>
  </si>
  <si>
    <t>1.04341132</t>
  </si>
  <si>
    <t>-0.22615341</t>
  </si>
  <si>
    <t>0.95950745</t>
  </si>
  <si>
    <t>0.98579913</t>
  </si>
  <si>
    <t>1.04269799</t>
  </si>
  <si>
    <t>-0.22382651</t>
  </si>
  <si>
    <t>0.96349620</t>
  </si>
  <si>
    <t>0.98915279</t>
  </si>
  <si>
    <t>1.04185017</t>
  </si>
  <si>
    <t>-0.22202411</t>
  </si>
  <si>
    <t>0.96657985</t>
  </si>
  <si>
    <t>0.99175164</t>
  </si>
  <si>
    <t>1.04088910</t>
  </si>
  <si>
    <t>-0.22070142</t>
  </si>
  <si>
    <t>0.96883781</t>
  </si>
  <si>
    <t>0.99365780</t>
  </si>
  <si>
    <t>1.03983471</t>
  </si>
  <si>
    <t>-0.21980760</t>
  </si>
  <si>
    <t>0.97035996</t>
  </si>
  <si>
    <t>0.99494413</t>
  </si>
  <si>
    <t>1.03870561</t>
  </si>
  <si>
    <t>-0.21928355</t>
  </si>
  <si>
    <t>0.97125010</t>
  </si>
  <si>
    <t>0.99569675</t>
  </si>
  <si>
    <t>1.03751904</t>
  </si>
  <si>
    <t>-0.21905721</t>
  </si>
  <si>
    <t>0.97163350</t>
  </si>
  <si>
    <t>0.99602095</t>
  </si>
  <si>
    <t>5.62758028</t>
  </si>
  <si>
    <t>-0.99962750</t>
  </si>
  <si>
    <t>-0.00028649</t>
  </si>
  <si>
    <t>0.99962754</t>
  </si>
  <si>
    <t>5.61512063</t>
  </si>
  <si>
    <t>-0.01245965</t>
  </si>
  <si>
    <t>-0.99859485</t>
  </si>
  <si>
    <t>-0.00110136</t>
  </si>
  <si>
    <t>0.99859545</t>
  </si>
  <si>
    <t>5.60233563</t>
  </si>
  <si>
    <t>-0.01278500</t>
  </si>
  <si>
    <t>-0.99673862</t>
  </si>
  <si>
    <t>-0.00260503</t>
  </si>
  <si>
    <t>0.99674203</t>
  </si>
  <si>
    <t>5.58923980</t>
  </si>
  <si>
    <t>-0.01309582</t>
  </si>
  <si>
    <t>-0.99394701</t>
  </si>
  <si>
    <t>-0.00492762</t>
  </si>
  <si>
    <t>0.99395923</t>
  </si>
  <si>
    <t>5.57585168</t>
  </si>
  <si>
    <t>-0.01338813</t>
  </si>
  <si>
    <t>-0.99014264</t>
  </si>
  <si>
    <t>-0.00817999</t>
  </si>
  <si>
    <t>0.99017643</t>
  </si>
  <si>
    <t>5.56219383</t>
  </si>
  <si>
    <t>-0.01365785</t>
  </si>
  <si>
    <t>-0.98527482</t>
  </si>
  <si>
    <t>-0.01245794</t>
  </si>
  <si>
    <t>0.98535358</t>
  </si>
  <si>
    <t>5.54829291</t>
  </si>
  <si>
    <t>-0.01390091</t>
  </si>
  <si>
    <t>-0.97931511</t>
  </si>
  <si>
    <t>-0.01784413</t>
  </si>
  <si>
    <t>0.97947767</t>
  </si>
  <si>
    <t>5.53417962</t>
  </si>
  <si>
    <t>-0.01411329</t>
  </si>
  <si>
    <t>-0.97225424</t>
  </si>
  <si>
    <t>-0.02440892</t>
  </si>
  <si>
    <t>0.97256059</t>
  </si>
  <si>
    <t>5.51988853</t>
  </si>
  <si>
    <t>-0.01429109</t>
  </si>
  <si>
    <t>-0.96409974</t>
  </si>
  <si>
    <t>-0.03221070</t>
  </si>
  <si>
    <t>0.96463767</t>
  </si>
  <si>
    <t>5.50545792</t>
  </si>
  <si>
    <t>-0.01443061</t>
  </si>
  <si>
    <t>-0.95487394</t>
  </si>
  <si>
    <t>-0.04129604</t>
  </si>
  <si>
    <t>0.95576650</t>
  </si>
  <si>
    <t>5.49092945</t>
  </si>
  <si>
    <t>-0.01452847</t>
  </si>
  <si>
    <t>-0.94461206</t>
  </si>
  <si>
    <t>-0.05169964</t>
  </si>
  <si>
    <t>0.94602579</t>
  </si>
  <si>
    <t>5.47634778</t>
  </si>
  <si>
    <t>-0.01458167</t>
  </si>
  <si>
    <t>-0.93336044</t>
  </si>
  <si>
    <t>-0.06344436</t>
  </si>
  <si>
    <t>0.93551424</t>
  </si>
  <si>
    <t>5.46176008</t>
  </si>
  <si>
    <t>-0.01458770</t>
  </si>
  <si>
    <t>-0.92117479</t>
  </si>
  <si>
    <t>-0.07654126</t>
  </si>
  <si>
    <t>0.92434926</t>
  </si>
  <si>
    <t>5.44721548</t>
  </si>
  <si>
    <t>-0.01454459</t>
  </si>
  <si>
    <t>-0.90811849</t>
  </si>
  <si>
    <t>-0.09098971</t>
  </si>
  <si>
    <t>0.91266550</t>
  </si>
  <si>
    <t>5.43276446</t>
  </si>
  <si>
    <t>-0.01445103</t>
  </si>
  <si>
    <t>-0.89426093</t>
  </si>
  <si>
    <t>-0.10677762</t>
  </si>
  <si>
    <t>0.90061316</t>
  </si>
  <si>
    <t>5.41845812</t>
  </si>
  <si>
    <t>-0.01430634</t>
  </si>
  <si>
    <t>-0.87967592</t>
  </si>
  <si>
    <t>-0.12388179</t>
  </si>
  <si>
    <t>0.88835602</t>
  </si>
  <si>
    <t>5.40434751</t>
  </si>
  <si>
    <t>-0.01411060</t>
  </si>
  <si>
    <t>-0.86444021</t>
  </si>
  <si>
    <t>-0.14226832</t>
  </si>
  <si>
    <t>0.87606915</t>
  </si>
  <si>
    <t>5.39048291</t>
  </si>
  <si>
    <t>-0.01386460</t>
  </si>
  <si>
    <t>-0.84863210</t>
  </si>
  <si>
    <t>-0.16189320</t>
  </si>
  <si>
    <t>0.86393625</t>
  </si>
  <si>
    <t>5.37691306</t>
  </si>
  <si>
    <t>-0.01356984</t>
  </si>
  <si>
    <t>-0.83233018</t>
  </si>
  <si>
    <t>-0.18270293</t>
  </si>
  <si>
    <t>0.85214664</t>
  </si>
  <si>
    <t>5.36368454</t>
  </si>
  <si>
    <t>-0.01322852</t>
  </si>
  <si>
    <t>-0.81561226</t>
  </si>
  <si>
    <t>-0.20463524</t>
  </si>
  <si>
    <t>0.84089176</t>
  </si>
  <si>
    <t>5.35084107</t>
  </si>
  <si>
    <t>-0.01284348</t>
  </si>
  <si>
    <t>-0.79855442</t>
  </si>
  <si>
    <t>-0.22761990</t>
  </si>
  <si>
    <t>0.83036135</t>
  </si>
  <si>
    <t>5.33842295</t>
  </si>
  <si>
    <t>-0.01241811</t>
  </si>
  <si>
    <t>-0.78123024</t>
  </si>
  <si>
    <t>-0.25157951</t>
  </si>
  <si>
    <t>0.82073926</t>
  </si>
  <si>
    <t>5.32646662</t>
  </si>
  <si>
    <t>-0.01195633</t>
  </si>
  <si>
    <t>-0.76371022</t>
  </si>
  <si>
    <t>-0.27643039</t>
  </si>
  <si>
    <t>0.81219890</t>
  </si>
  <si>
    <t>5.31500417</t>
  </si>
  <si>
    <t>-0.01146245</t>
  </si>
  <si>
    <t>-0.74606134</t>
  </si>
  <si>
    <t>-0.30208347</t>
  </si>
  <si>
    <t>0.80489872</t>
  </si>
  <si>
    <t>5.30406310</t>
  </si>
  <si>
    <t>-0.01094108</t>
  </si>
  <si>
    <t>-0.72834680</t>
  </si>
  <si>
    <t>-0.32844506</t>
  </si>
  <si>
    <t>0.79897761</t>
  </si>
  <si>
    <t>5.29366605</t>
  </si>
  <si>
    <t>-0.01039704</t>
  </si>
  <si>
    <t>-0.71062583</t>
  </si>
  <si>
    <t>-0.35541781</t>
  </si>
  <si>
    <t>0.79455075</t>
  </si>
  <si>
    <t>5.28383075</t>
  </si>
  <si>
    <t>-0.00983530</t>
  </si>
  <si>
    <t>-0.69295373</t>
  </si>
  <si>
    <t>-0.38290144</t>
  </si>
  <si>
    <t>0.79170600</t>
  </si>
  <si>
    <t>5.27456994</t>
  </si>
  <si>
    <t>-0.00926081</t>
  </si>
  <si>
    <t>-0.67538192</t>
  </si>
  <si>
    <t>-0.41079356</t>
  </si>
  <si>
    <t>0.79050116</t>
  </si>
  <si>
    <t>5.26589144</t>
  </si>
  <si>
    <t>-0.00867850</t>
  </si>
  <si>
    <t>-0.65795811</t>
  </si>
  <si>
    <t>-0.43899042</t>
  </si>
  <si>
    <t>0.79096236</t>
  </si>
  <si>
    <t>5.25779831</t>
  </si>
  <si>
    <t>-0.00809314</t>
  </si>
  <si>
    <t>-0.64072651</t>
  </si>
  <si>
    <t>-0.46738760</t>
  </si>
  <si>
    <t>0.79308362</t>
  </si>
  <si>
    <t>5.25028900</t>
  </si>
  <si>
    <t>-0.00750931</t>
  </si>
  <si>
    <t>-0.62372813</t>
  </si>
  <si>
    <t>-0.49588070</t>
  </si>
  <si>
    <t>0.79682774</t>
  </si>
  <si>
    <t>5.24335766</t>
  </si>
  <si>
    <t>-0.00693134</t>
  </si>
  <si>
    <t>-0.60700106</t>
  </si>
  <si>
    <t>-0.52436593</t>
  </si>
  <si>
    <t>0.80212837</t>
  </si>
  <si>
    <t>5.23699442</t>
  </si>
  <si>
    <t>-0.00636324</t>
  </si>
  <si>
    <t>-0.59058076</t>
  </si>
  <si>
    <t>-0.55274073</t>
  </si>
  <si>
    <t>0.80889304</t>
  </si>
  <si>
    <t>5.23118572</t>
  </si>
  <si>
    <t>-0.00580870</t>
  </si>
  <si>
    <t>-0.57450033</t>
  </si>
  <si>
    <t>-0.58090432</t>
  </si>
  <si>
    <t>0.81700701</t>
  </si>
  <si>
    <t>5.22591468</t>
  </si>
  <si>
    <t>-0.00527104</t>
  </si>
  <si>
    <t>-0.55879083</t>
  </si>
  <si>
    <t>-0.60875821</t>
  </si>
  <si>
    <t>0.82633755</t>
  </si>
  <si>
    <t>5.22116150</t>
  </si>
  <si>
    <t>-0.00475318</t>
  </si>
  <si>
    <t>-0.54348147</t>
  </si>
  <si>
    <t>-0.63620672</t>
  </si>
  <si>
    <t>0.83673837</t>
  </si>
  <si>
    <t>5.21690384</t>
  </si>
  <si>
    <t>-0.00425765</t>
  </si>
  <si>
    <t>-0.52859983</t>
  </si>
  <si>
    <t>-0.66315745</t>
  </si>
  <si>
    <t>0.84805400</t>
  </si>
  <si>
    <t>5.21311725</t>
  </si>
  <si>
    <t>-0.00378659</t>
  </si>
  <si>
    <t>-0.51417204</t>
  </si>
  <si>
    <t>-0.68952170</t>
  </si>
  <si>
    <t>0.86012386</t>
  </si>
  <si>
    <t>5.20977552</t>
  </si>
  <si>
    <t>-0.00334173</t>
  </si>
  <si>
    <t>-0.50022282</t>
  </si>
  <si>
    <t>-0.71521494</t>
  </si>
  <si>
    <t>0.87278593</t>
  </si>
  <si>
    <t>5.20685112</t>
  </si>
  <si>
    <t>-0.00292441</t>
  </si>
  <si>
    <t>-0.48677561</t>
  </si>
  <si>
    <t>-0.74015721</t>
  </si>
  <si>
    <t>0.88587989</t>
  </si>
  <si>
    <t>5.20431553</t>
  </si>
  <si>
    <t>-0.00253559</t>
  </si>
  <si>
    <t>-0.47385254</t>
  </si>
  <si>
    <t>-0.76427347</t>
  </si>
  <si>
    <t>0.89924978</t>
  </si>
  <si>
    <t>5.20213965</t>
  </si>
  <si>
    <t>-0.00217588</t>
  </si>
  <si>
    <t>-0.46147440</t>
  </si>
  <si>
    <t>-0.78749403</t>
  </si>
  <si>
    <t>0.91274611</t>
  </si>
  <si>
    <t>5.20029410</t>
  </si>
  <si>
    <t>-0.00184555</t>
  </si>
  <si>
    <t>-0.44966058</t>
  </si>
  <si>
    <t>-0.80975484</t>
  </si>
  <si>
    <t>0.92622759</t>
  </si>
  <si>
    <t>5.19874955</t>
  </si>
  <si>
    <t>-0.00154454</t>
  </si>
  <si>
    <t>-0.43842893</t>
  </si>
  <si>
    <t>-0.83099786</t>
  </si>
  <si>
    <t>0.93956233</t>
  </si>
  <si>
    <t>5.19747703</t>
  </si>
  <si>
    <t>-0.00127252</t>
  </si>
  <si>
    <t>-0.42779558</t>
  </si>
  <si>
    <t>-0.85117133</t>
  </si>
  <si>
    <t>0.95262884</t>
  </si>
  <si>
    <t>5.19644814</t>
  </si>
  <si>
    <t>-0.00102889</t>
  </si>
  <si>
    <t>-0.41777485</t>
  </si>
  <si>
    <t>-0.87023009</t>
  </si>
  <si>
    <t>0.96531665</t>
  </si>
  <si>
    <t>5.19563533</t>
  </si>
  <si>
    <t>-0.00081281</t>
  </si>
  <si>
    <t>-0.40837894</t>
  </si>
  <si>
    <t>-0.88813579</t>
  </si>
  <si>
    <t>0.97752675</t>
  </si>
  <si>
    <t>5.19501209</t>
  </si>
  <si>
    <t>-0.00062324</t>
  </si>
  <si>
    <t>-0.39961779</t>
  </si>
  <si>
    <t>-0.90485716</t>
  </si>
  <si>
    <t>0.98917180</t>
  </si>
  <si>
    <t>5.19455312</t>
  </si>
  <si>
    <t>-0.00045897</t>
  </si>
  <si>
    <t>-0.39149880</t>
  </si>
  <si>
    <t>-0.92037023</t>
  </si>
  <si>
    <t>1.00017632</t>
  </si>
  <si>
    <t>5.19423450</t>
  </si>
  <si>
    <t>-0.00031863</t>
  </si>
  <si>
    <t>-0.38402663</t>
  </si>
  <si>
    <t>-0.93465847</t>
  </si>
  <si>
    <t>1.01047658</t>
  </si>
  <si>
    <t>5.19403376</t>
  </si>
  <si>
    <t>-0.00020073</t>
  </si>
  <si>
    <t>-0.37720296</t>
  </si>
  <si>
    <t>-0.94771305</t>
  </si>
  <si>
    <t>1.02002064</t>
  </si>
  <si>
    <t>5.19393008</t>
  </si>
  <si>
    <t>-0.00010369</t>
  </si>
  <si>
    <t>-0.37102625</t>
  </si>
  <si>
    <t>-0.95953290</t>
  </si>
  <si>
    <t>1.02876813</t>
  </si>
  <si>
    <t>5.19390426</t>
  </si>
  <si>
    <t>-0.00002582</t>
  </si>
  <si>
    <t>-0.36549149</t>
  </si>
  <si>
    <t>-0.97012496</t>
  </si>
  <si>
    <t>1.03669015</t>
  </si>
  <si>
    <t>5.19393888</t>
  </si>
  <si>
    <t>0.00003462</t>
  </si>
  <si>
    <t>-0.36059002</t>
  </si>
  <si>
    <t>-0.97950429</t>
  </si>
  <si>
    <t>1.04376905</t>
  </si>
  <si>
    <t>5.19401831</t>
  </si>
  <si>
    <t>0.00007943</t>
  </si>
  <si>
    <t>-0.35630925</t>
  </si>
  <si>
    <t>-0.98769427</t>
  </si>
  <si>
    <t>1.04999822</t>
  </si>
  <si>
    <t>5.19412880</t>
  </si>
  <si>
    <t>0.00011048</t>
  </si>
  <si>
    <t>-0.35263245</t>
  </si>
  <si>
    <t>-0.99472684</t>
  </si>
  <si>
    <t>1.05538199</t>
  </si>
  <si>
    <t>5.19425850</t>
  </si>
  <si>
    <t>0.00012970</t>
  </si>
  <si>
    <t>-0.34953848</t>
  </si>
  <si>
    <t>-1.00064279</t>
  </si>
  <si>
    <t>1.05993544</t>
  </si>
  <si>
    <t>5.19439764</t>
  </si>
  <si>
    <t>0.00013914</t>
  </si>
  <si>
    <t>-0.34700142</t>
  </si>
  <si>
    <t>-1.00549221</t>
  </si>
  <si>
    <t>1.06368443</t>
  </si>
  <si>
    <t>5.19453865</t>
  </si>
  <si>
    <t>0.00014101</t>
  </si>
  <si>
    <t>-0.34499022</t>
  </si>
  <si>
    <t>-1.00933518</t>
  </si>
  <si>
    <t>1.06666572</t>
  </si>
  <si>
    <t>5.19467675</t>
  </si>
  <si>
    <t>0.00013809</t>
  </si>
  <si>
    <t>-0.34346802</t>
  </si>
  <si>
    <t>-1.01224278</t>
  </si>
  <si>
    <t>1.06892738</t>
  </si>
  <si>
    <t>5.19481135</t>
  </si>
  <si>
    <t>Old Sum</t>
  </si>
  <si>
    <t>-0.91394866</t>
  </si>
  <si>
    <t>0.04977446</t>
  </si>
  <si>
    <t>0.91530304</t>
  </si>
  <si>
    <t>-0.91466718</t>
  </si>
  <si>
    <t>0.05114648</t>
  </si>
  <si>
    <t>0.91609607</t>
  </si>
  <si>
    <t>-0.91512421</t>
  </si>
  <si>
    <t>0.05201891</t>
  </si>
  <si>
    <t>0.91660149</t>
  </si>
  <si>
    <t>2.05347794</t>
  </si>
  <si>
    <t>0.00012799</t>
  </si>
  <si>
    <t>-0.91536164</t>
  </si>
  <si>
    <t>0.05247201</t>
  </si>
  <si>
    <t>0.91686436</t>
  </si>
  <si>
    <t>-0.34239024</t>
  </si>
  <si>
    <t>-1.01430081</t>
  </si>
  <si>
    <t>1.07053128</t>
  </si>
  <si>
    <t>5.19494260</t>
  </si>
  <si>
    <t>-0.34170469</t>
  </si>
  <si>
    <t>-1.01560946</t>
  </si>
  <si>
    <t>1.07155246</t>
  </si>
  <si>
    <t>5.19507059</t>
  </si>
  <si>
    <t>-0.34134855</t>
  </si>
  <si>
    <t>-1.01628910</t>
  </si>
  <si>
    <t>1.07208319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</si>
</sst>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00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2" borderId="1" xfId="0" applyFill="1" applyBorder="1"/>
    <xf numFmtId="165" fontId="0" fillId="2" borderId="1" xfId="0" applyNumberFormat="1" applyFill="1" applyBorder="1"/>
    <xf numFmtId="0" fontId="0" fillId="0" borderId="0" xfId="0" applyNumberFormat="1"/>
    <xf numFmtId="0" fontId="0" fillId="3" borderId="1" xfId="0" applyFill="1" applyBorder="1"/>
    <xf numFmtId="165" fontId="0" fillId="3" borderId="1" xfId="0" applyNumberFormat="1" applyFill="1" applyBorder="1"/>
    <xf numFmtId="0" fontId="0" fillId="0" borderId="2" xfId="0" applyFill="1" applyBorder="1"/>
  </cellXfs>
  <cellStyles count="1">
    <cellStyle name="Normal" xfId="0" builtinId="0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00"/>
    </dxf>
    <dxf>
      <numFmt numFmtId="164" formatCode="0.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ThreeParticleAngleWall0C0!$F$2:$F$94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4.5154E-4</c:v>
                </c:pt>
                <c:pt idx="13">
                  <c:v>4.0243700000000002E-3</c:v>
                </c:pt>
                <c:pt idx="14">
                  <c:v>9.3905499999999992E-3</c:v>
                </c:pt>
                <c:pt idx="15">
                  <c:v>1.5996070000000001E-2</c:v>
                </c:pt>
                <c:pt idx="16">
                  <c:v>2.3563850000000001E-2</c:v>
                </c:pt>
                <c:pt idx="17">
                  <c:v>3.1886989999999997E-2</c:v>
                </c:pt>
                <c:pt idx="18">
                  <c:v>4.0815230000000001E-2</c:v>
                </c:pt>
                <c:pt idx="19">
                  <c:v>5.0211560000000002E-2</c:v>
                </c:pt>
                <c:pt idx="20">
                  <c:v>5.995052E-2</c:v>
                </c:pt>
                <c:pt idx="21">
                  <c:v>6.9914219999999999E-2</c:v>
                </c:pt>
                <c:pt idx="22">
                  <c:v>7.9990389999999995E-2</c:v>
                </c:pt>
                <c:pt idx="23">
                  <c:v>9.0071590000000007E-2</c:v>
                </c:pt>
                <c:pt idx="24">
                  <c:v>0.10005505000000001</c:v>
                </c:pt>
                <c:pt idx="25">
                  <c:v>0.10984296</c:v>
                </c:pt>
                <c:pt idx="26">
                  <c:v>0.11934297000000001</c:v>
                </c:pt>
                <c:pt idx="27">
                  <c:v>0.12846872000000001</c:v>
                </c:pt>
                <c:pt idx="28">
                  <c:v>0.1371405</c:v>
                </c:pt>
                <c:pt idx="29">
                  <c:v>0.14528584</c:v>
                </c:pt>
                <c:pt idx="30">
                  <c:v>0.15284</c:v>
                </c:pt>
                <c:pt idx="31">
                  <c:v>0.15974642</c:v>
                </c:pt>
                <c:pt idx="32">
                  <c:v>0.16595699</c:v>
                </c:pt>
                <c:pt idx="33">
                  <c:v>0.17143225000000001</c:v>
                </c:pt>
                <c:pt idx="34">
                  <c:v>0.17614137999999999</c:v>
                </c:pt>
                <c:pt idx="35">
                  <c:v>0.18006211</c:v>
                </c:pt>
                <c:pt idx="36">
                  <c:v>0.18318050999999999</c:v>
                </c:pt>
                <c:pt idx="37">
                  <c:v>0.18549062999999999</c:v>
                </c:pt>
                <c:pt idx="38">
                  <c:v>0.18699408000000001</c:v>
                </c:pt>
                <c:pt idx="39">
                  <c:v>0.18769948</c:v>
                </c:pt>
                <c:pt idx="40">
                  <c:v>0.18762196</c:v>
                </c:pt>
                <c:pt idx="41">
                  <c:v>0.18678248</c:v>
                </c:pt>
                <c:pt idx="42">
                  <c:v>0.18520726000000001</c:v>
                </c:pt>
                <c:pt idx="43">
                  <c:v>0.18292711</c:v>
                </c:pt>
                <c:pt idx="44">
                  <c:v>0.17997682000000001</c:v>
                </c:pt>
                <c:pt idx="45">
                  <c:v>0.17639458</c:v>
                </c:pt>
                <c:pt idx="46">
                  <c:v>0.17222135999999999</c:v>
                </c:pt>
                <c:pt idx="47">
                  <c:v>0.16750045999999999</c:v>
                </c:pt>
                <c:pt idx="48">
                  <c:v>0.1622769</c:v>
                </c:pt>
                <c:pt idx="49">
                  <c:v>0.15659708</c:v>
                </c:pt>
                <c:pt idx="50">
                  <c:v>0.15050827999999999</c:v>
                </c:pt>
                <c:pt idx="51">
                  <c:v>0.14405834000000001</c:v>
                </c:pt>
                <c:pt idx="52">
                  <c:v>0.13729532</c:v>
                </c:pt>
                <c:pt idx="53">
                  <c:v>0.1302672</c:v>
                </c:pt>
                <c:pt idx="54">
                  <c:v>0.12302166</c:v>
                </c:pt>
                <c:pt idx="55">
                  <c:v>0.11560579999999999</c:v>
                </c:pt>
                <c:pt idx="56">
                  <c:v>0.10806602999999999</c:v>
                </c:pt>
                <c:pt idx="57">
                  <c:v>0.10044788</c:v>
                </c:pt>
                <c:pt idx="58">
                  <c:v>9.2795909999999995E-2</c:v>
                </c:pt>
                <c:pt idx="59">
                  <c:v>8.5153629999999994E-2</c:v>
                </c:pt>
                <c:pt idx="60">
                  <c:v>7.7563450000000006E-2</c:v>
                </c:pt>
                <c:pt idx="61">
                  <c:v>7.0066729999999994E-2</c:v>
                </c:pt>
                <c:pt idx="62">
                  <c:v>6.2703789999999995E-2</c:v>
                </c:pt>
                <c:pt idx="63">
                  <c:v>5.5514069999999999E-2</c:v>
                </c:pt>
                <c:pt idx="64">
                  <c:v>4.8536320000000001E-2</c:v>
                </c:pt>
                <c:pt idx="65">
                  <c:v>4.1808940000000003E-2</c:v>
                </c:pt>
                <c:pt idx="66">
                  <c:v>3.537038E-2</c:v>
                </c:pt>
                <c:pt idx="67">
                  <c:v>2.9259899999999998E-2</c:v>
                </c:pt>
                <c:pt idx="68">
                  <c:v>2.3518560000000001E-2</c:v>
                </c:pt>
                <c:pt idx="69">
                  <c:v>1.8190870000000001E-2</c:v>
                </c:pt>
                <c:pt idx="70">
                  <c:v>1.3327479999999999E-2</c:v>
                </c:pt>
                <c:pt idx="71">
                  <c:v>8.9899799999999998E-3</c:v>
                </c:pt>
                <c:pt idx="72">
                  <c:v>5.2607499999999998E-3</c:v>
                </c:pt>
                <c:pt idx="73">
                  <c:v>2.2675199999999999E-3</c:v>
                </c:pt>
                <c:pt idx="74">
                  <c:v>2.7961000000000001E-4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41-4685-A8C7-7E4E0AE1D93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ThreeParticleAngleWall0C1!$F$2:$F$94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2.3993E-3</c:v>
                </c:pt>
                <c:pt idx="17">
                  <c:v>6.7162599999999999E-3</c:v>
                </c:pt>
                <c:pt idx="18">
                  <c:v>1.2196719999999999E-2</c:v>
                </c:pt>
                <c:pt idx="19">
                  <c:v>1.8541180000000001E-2</c:v>
                </c:pt>
                <c:pt idx="20">
                  <c:v>2.5554609999999998E-2</c:v>
                </c:pt>
                <c:pt idx="21">
                  <c:v>3.3087329999999998E-2</c:v>
                </c:pt>
                <c:pt idx="22">
                  <c:v>4.1014099999999998E-2</c:v>
                </c:pt>
                <c:pt idx="23">
                  <c:v>4.9224959999999998E-2</c:v>
                </c:pt>
                <c:pt idx="24">
                  <c:v>5.7620629999999999E-2</c:v>
                </c:pt>
                <c:pt idx="25">
                  <c:v>6.6110189999999999E-2</c:v>
                </c:pt>
                <c:pt idx="26">
                  <c:v>7.4609819999999993E-2</c:v>
                </c:pt>
                <c:pt idx="27">
                  <c:v>8.3042199999999997E-2</c:v>
                </c:pt>
                <c:pt idx="28">
                  <c:v>9.1336210000000001E-2</c:v>
                </c:pt>
                <c:pt idx="29">
                  <c:v>9.9426810000000004E-2</c:v>
                </c:pt>
                <c:pt idx="30">
                  <c:v>0.10725496</c:v>
                </c:pt>
                <c:pt idx="31">
                  <c:v>0.11476755</c:v>
                </c:pt>
                <c:pt idx="32">
                  <c:v>0.12191736</c:v>
                </c:pt>
                <c:pt idx="33">
                  <c:v>0.12866285</c:v>
                </c:pt>
                <c:pt idx="34">
                  <c:v>0.13496801999999999</c:v>
                </c:pt>
                <c:pt idx="35">
                  <c:v>0.14080211000000001</c:v>
                </c:pt>
                <c:pt idx="36">
                  <c:v>0.14613938000000001</c:v>
                </c:pt>
                <c:pt idx="37">
                  <c:v>0.15095871999999999</c:v>
                </c:pt>
                <c:pt idx="38">
                  <c:v>0.1552433</c:v>
                </c:pt>
                <c:pt idx="39">
                  <c:v>0.15898027000000001</c:v>
                </c:pt>
                <c:pt idx="40">
                  <c:v>0.16216032999999999</c:v>
                </c:pt>
                <c:pt idx="41">
                  <c:v>0.16477744</c:v>
                </c:pt>
                <c:pt idx="42">
                  <c:v>0.16682849999999999</c:v>
                </c:pt>
                <c:pt idx="43">
                  <c:v>0.16831307000000001</c:v>
                </c:pt>
                <c:pt idx="44">
                  <c:v>0.16923311999999999</c:v>
                </c:pt>
                <c:pt idx="45">
                  <c:v>0.16959287000000001</c:v>
                </c:pt>
                <c:pt idx="46">
                  <c:v>0.16939857</c:v>
                </c:pt>
                <c:pt idx="47">
                  <c:v>0.16865843</c:v>
                </c:pt>
                <c:pt idx="48">
                  <c:v>0.16738253</c:v>
                </c:pt>
                <c:pt idx="49">
                  <c:v>0.16558278000000001</c:v>
                </c:pt>
                <c:pt idx="50">
                  <c:v>0.16327285999999999</c:v>
                </c:pt>
                <c:pt idx="51">
                  <c:v>0.16046826</c:v>
                </c:pt>
                <c:pt idx="52">
                  <c:v>0.15718626999999999</c:v>
                </c:pt>
                <c:pt idx="53">
                  <c:v>0.15344600999999999</c:v>
                </c:pt>
                <c:pt idx="54">
                  <c:v>0.14926845999999999</c:v>
                </c:pt>
                <c:pt idx="55">
                  <c:v>0.14467647</c:v>
                </c:pt>
                <c:pt idx="56">
                  <c:v>0.13969477</c:v>
                </c:pt>
                <c:pt idx="57">
                  <c:v>0.13435000999999999</c:v>
                </c:pt>
                <c:pt idx="58">
                  <c:v>0.12867071999999999</c:v>
                </c:pt>
                <c:pt idx="59">
                  <c:v>0.12268730999999999</c:v>
                </c:pt>
                <c:pt idx="60">
                  <c:v>0.11643199999999999</c:v>
                </c:pt>
                <c:pt idx="61">
                  <c:v>0.10993878999999999</c:v>
                </c:pt>
                <c:pt idx="62">
                  <c:v>0.10324339</c:v>
                </c:pt>
                <c:pt idx="63">
                  <c:v>9.6383129999999997E-2</c:v>
                </c:pt>
                <c:pt idx="64">
                  <c:v>8.9396870000000003E-2</c:v>
                </c:pt>
                <c:pt idx="65">
                  <c:v>8.2324910000000001E-2</c:v>
                </c:pt>
                <c:pt idx="66">
                  <c:v>7.5208929999999993E-2</c:v>
                </c:pt>
                <c:pt idx="67">
                  <c:v>6.8091879999999994E-2</c:v>
                </c:pt>
                <c:pt idx="68">
                  <c:v>6.1017979999999999E-2</c:v>
                </c:pt>
                <c:pt idx="69">
                  <c:v>5.4032740000000003E-2</c:v>
                </c:pt>
                <c:pt idx="70">
                  <c:v>4.7183070000000001E-2</c:v>
                </c:pt>
                <c:pt idx="71">
                  <c:v>4.0517450000000003E-2</c:v>
                </c:pt>
                <c:pt idx="72">
                  <c:v>3.4086459999999999E-2</c:v>
                </c:pt>
                <c:pt idx="73">
                  <c:v>2.7943409999999998E-2</c:v>
                </c:pt>
                <c:pt idx="74">
                  <c:v>2.2145640000000001E-2</c:v>
                </c:pt>
                <c:pt idx="75">
                  <c:v>1.6756710000000001E-2</c:v>
                </c:pt>
                <c:pt idx="76">
                  <c:v>1.186137E-2</c:v>
                </c:pt>
                <c:pt idx="77">
                  <c:v>7.5428700000000001E-3</c:v>
                </c:pt>
                <c:pt idx="78">
                  <c:v>3.9176000000000002E-3</c:v>
                </c:pt>
                <c:pt idx="79">
                  <c:v>1.18421E-3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F-4A43-94E2-571D91284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187247"/>
        <c:axId val="1646186287"/>
      </c:scatterChart>
      <c:valAx>
        <c:axId val="164618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186287"/>
        <c:crosses val="autoZero"/>
        <c:crossBetween val="midCat"/>
      </c:valAx>
      <c:valAx>
        <c:axId val="164618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18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47594050743657E-2"/>
          <c:y val="0.15782407407407409"/>
          <c:w val="0.87114129483814529"/>
          <c:h val="0.7212580198308544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ThreeParticleAngleWall0C1!$F$2:$F$94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2.3993E-3</c:v>
                </c:pt>
                <c:pt idx="17">
                  <c:v>6.7162599999999999E-3</c:v>
                </c:pt>
                <c:pt idx="18">
                  <c:v>1.2196719999999999E-2</c:v>
                </c:pt>
                <c:pt idx="19">
                  <c:v>1.8541180000000001E-2</c:v>
                </c:pt>
                <c:pt idx="20">
                  <c:v>2.5554609999999998E-2</c:v>
                </c:pt>
                <c:pt idx="21">
                  <c:v>3.3087329999999998E-2</c:v>
                </c:pt>
                <c:pt idx="22">
                  <c:v>4.1014099999999998E-2</c:v>
                </c:pt>
                <c:pt idx="23">
                  <c:v>4.9224959999999998E-2</c:v>
                </c:pt>
                <c:pt idx="24">
                  <c:v>5.7620629999999999E-2</c:v>
                </c:pt>
                <c:pt idx="25">
                  <c:v>6.6110189999999999E-2</c:v>
                </c:pt>
                <c:pt idx="26">
                  <c:v>7.4609819999999993E-2</c:v>
                </c:pt>
                <c:pt idx="27">
                  <c:v>8.3042199999999997E-2</c:v>
                </c:pt>
                <c:pt idx="28">
                  <c:v>9.1336210000000001E-2</c:v>
                </c:pt>
                <c:pt idx="29">
                  <c:v>9.9426810000000004E-2</c:v>
                </c:pt>
                <c:pt idx="30">
                  <c:v>0.10725496</c:v>
                </c:pt>
                <c:pt idx="31">
                  <c:v>0.11476755</c:v>
                </c:pt>
                <c:pt idx="32">
                  <c:v>0.12191736</c:v>
                </c:pt>
                <c:pt idx="33">
                  <c:v>0.12866285</c:v>
                </c:pt>
                <c:pt idx="34">
                  <c:v>0.13496801999999999</c:v>
                </c:pt>
                <c:pt idx="35">
                  <c:v>0.14080211000000001</c:v>
                </c:pt>
                <c:pt idx="36">
                  <c:v>0.14613938000000001</c:v>
                </c:pt>
                <c:pt idx="37">
                  <c:v>0.15095871999999999</c:v>
                </c:pt>
                <c:pt idx="38">
                  <c:v>0.1552433</c:v>
                </c:pt>
                <c:pt idx="39">
                  <c:v>0.15898027000000001</c:v>
                </c:pt>
                <c:pt idx="40">
                  <c:v>0.16216032999999999</c:v>
                </c:pt>
                <c:pt idx="41">
                  <c:v>0.16477744</c:v>
                </c:pt>
                <c:pt idx="42">
                  <c:v>0.16682849999999999</c:v>
                </c:pt>
                <c:pt idx="43">
                  <c:v>0.16831307000000001</c:v>
                </c:pt>
                <c:pt idx="44">
                  <c:v>0.16923311999999999</c:v>
                </c:pt>
                <c:pt idx="45">
                  <c:v>0.16959287000000001</c:v>
                </c:pt>
                <c:pt idx="46">
                  <c:v>0.16939857</c:v>
                </c:pt>
                <c:pt idx="47">
                  <c:v>0.16865843</c:v>
                </c:pt>
                <c:pt idx="48">
                  <c:v>0.16738253</c:v>
                </c:pt>
                <c:pt idx="49">
                  <c:v>0.16558278000000001</c:v>
                </c:pt>
                <c:pt idx="50">
                  <c:v>0.16327285999999999</c:v>
                </c:pt>
                <c:pt idx="51">
                  <c:v>0.16046826</c:v>
                </c:pt>
                <c:pt idx="52">
                  <c:v>0.15718626999999999</c:v>
                </c:pt>
                <c:pt idx="53">
                  <c:v>0.15344600999999999</c:v>
                </c:pt>
                <c:pt idx="54">
                  <c:v>0.14926845999999999</c:v>
                </c:pt>
                <c:pt idx="55">
                  <c:v>0.14467647</c:v>
                </c:pt>
                <c:pt idx="56">
                  <c:v>0.13969477</c:v>
                </c:pt>
                <c:pt idx="57">
                  <c:v>0.13435000999999999</c:v>
                </c:pt>
                <c:pt idx="58">
                  <c:v>0.12867071999999999</c:v>
                </c:pt>
                <c:pt idx="59">
                  <c:v>0.12268730999999999</c:v>
                </c:pt>
                <c:pt idx="60">
                  <c:v>0.11643199999999999</c:v>
                </c:pt>
                <c:pt idx="61">
                  <c:v>0.10993878999999999</c:v>
                </c:pt>
                <c:pt idx="62">
                  <c:v>0.10324339</c:v>
                </c:pt>
                <c:pt idx="63">
                  <c:v>9.6383129999999997E-2</c:v>
                </c:pt>
                <c:pt idx="64">
                  <c:v>8.9396870000000003E-2</c:v>
                </c:pt>
                <c:pt idx="65">
                  <c:v>8.2324910000000001E-2</c:v>
                </c:pt>
                <c:pt idx="66">
                  <c:v>7.5208929999999993E-2</c:v>
                </c:pt>
                <c:pt idx="67">
                  <c:v>6.8091879999999994E-2</c:v>
                </c:pt>
                <c:pt idx="68">
                  <c:v>6.1017979999999999E-2</c:v>
                </c:pt>
                <c:pt idx="69">
                  <c:v>5.4032740000000003E-2</c:v>
                </c:pt>
                <c:pt idx="70">
                  <c:v>4.7183070000000001E-2</c:v>
                </c:pt>
                <c:pt idx="71">
                  <c:v>4.0517450000000003E-2</c:v>
                </c:pt>
                <c:pt idx="72">
                  <c:v>3.4086459999999999E-2</c:v>
                </c:pt>
                <c:pt idx="73">
                  <c:v>2.7943409999999998E-2</c:v>
                </c:pt>
                <c:pt idx="74">
                  <c:v>2.2145640000000001E-2</c:v>
                </c:pt>
                <c:pt idx="75">
                  <c:v>1.6756710000000001E-2</c:v>
                </c:pt>
                <c:pt idx="76">
                  <c:v>1.186137E-2</c:v>
                </c:pt>
                <c:pt idx="77">
                  <c:v>7.5428700000000001E-3</c:v>
                </c:pt>
                <c:pt idx="78">
                  <c:v>3.9176000000000002E-3</c:v>
                </c:pt>
                <c:pt idx="79">
                  <c:v>1.18421E-3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7-4BDA-B0C5-A91331F72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583359"/>
        <c:axId val="1651586719"/>
      </c:scatterChart>
      <c:valAx>
        <c:axId val="165158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586719"/>
        <c:crosses val="autoZero"/>
        <c:crossBetween val="midCat"/>
      </c:valAx>
      <c:valAx>
        <c:axId val="165158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58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P1 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ThreeParticleAngleWall1C0!$F$2:$F$94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4.5154E-4</c:v>
                </c:pt>
                <c:pt idx="13">
                  <c:v>4.0243700000000002E-3</c:v>
                </c:pt>
                <c:pt idx="14">
                  <c:v>9.3905499999999992E-3</c:v>
                </c:pt>
                <c:pt idx="15">
                  <c:v>1.5996070000000001E-2</c:v>
                </c:pt>
                <c:pt idx="16">
                  <c:v>2.3563850000000001E-2</c:v>
                </c:pt>
                <c:pt idx="17">
                  <c:v>3.1886989999999997E-2</c:v>
                </c:pt>
                <c:pt idx="18">
                  <c:v>4.0815230000000001E-2</c:v>
                </c:pt>
                <c:pt idx="19">
                  <c:v>5.0211560000000002E-2</c:v>
                </c:pt>
                <c:pt idx="20">
                  <c:v>5.995052E-2</c:v>
                </c:pt>
                <c:pt idx="21">
                  <c:v>6.9914219999999999E-2</c:v>
                </c:pt>
                <c:pt idx="22">
                  <c:v>7.9990389999999995E-2</c:v>
                </c:pt>
                <c:pt idx="23">
                  <c:v>9.0071590000000007E-2</c:v>
                </c:pt>
                <c:pt idx="24">
                  <c:v>0.10005505000000001</c:v>
                </c:pt>
                <c:pt idx="25">
                  <c:v>0.10984296</c:v>
                </c:pt>
                <c:pt idx="26">
                  <c:v>0.11934297000000001</c:v>
                </c:pt>
                <c:pt idx="27">
                  <c:v>0.12846872000000001</c:v>
                </c:pt>
                <c:pt idx="28">
                  <c:v>0.1371405</c:v>
                </c:pt>
                <c:pt idx="29">
                  <c:v>0.14528584</c:v>
                </c:pt>
                <c:pt idx="30">
                  <c:v>0.15284</c:v>
                </c:pt>
                <c:pt idx="31">
                  <c:v>0.15974642</c:v>
                </c:pt>
                <c:pt idx="32">
                  <c:v>0.16595699</c:v>
                </c:pt>
                <c:pt idx="33">
                  <c:v>0.17143225000000001</c:v>
                </c:pt>
                <c:pt idx="34">
                  <c:v>0.17614137999999999</c:v>
                </c:pt>
                <c:pt idx="35">
                  <c:v>0.18006211</c:v>
                </c:pt>
                <c:pt idx="36">
                  <c:v>0.18318050999999999</c:v>
                </c:pt>
                <c:pt idx="37">
                  <c:v>0.18549062999999999</c:v>
                </c:pt>
                <c:pt idx="38">
                  <c:v>0.18699408000000001</c:v>
                </c:pt>
                <c:pt idx="39">
                  <c:v>0.18769948</c:v>
                </c:pt>
                <c:pt idx="40">
                  <c:v>0.18762196</c:v>
                </c:pt>
                <c:pt idx="41">
                  <c:v>0.18678248</c:v>
                </c:pt>
                <c:pt idx="42">
                  <c:v>0.18520726000000001</c:v>
                </c:pt>
                <c:pt idx="43">
                  <c:v>0.18292711</c:v>
                </c:pt>
                <c:pt idx="44">
                  <c:v>0.17997682000000001</c:v>
                </c:pt>
                <c:pt idx="45">
                  <c:v>0.17639458</c:v>
                </c:pt>
                <c:pt idx="46">
                  <c:v>0.17222135999999999</c:v>
                </c:pt>
                <c:pt idx="47">
                  <c:v>0.16750045999999999</c:v>
                </c:pt>
                <c:pt idx="48">
                  <c:v>0.1622769</c:v>
                </c:pt>
                <c:pt idx="49">
                  <c:v>0.15659708</c:v>
                </c:pt>
                <c:pt idx="50">
                  <c:v>0.15050827999999999</c:v>
                </c:pt>
                <c:pt idx="51">
                  <c:v>0.14405834000000001</c:v>
                </c:pt>
                <c:pt idx="52">
                  <c:v>0.13729532</c:v>
                </c:pt>
                <c:pt idx="53">
                  <c:v>0.1302672</c:v>
                </c:pt>
                <c:pt idx="54">
                  <c:v>0.12302166</c:v>
                </c:pt>
                <c:pt idx="55">
                  <c:v>0.11560579999999999</c:v>
                </c:pt>
                <c:pt idx="56">
                  <c:v>0.10806602999999999</c:v>
                </c:pt>
                <c:pt idx="57">
                  <c:v>0.10044788</c:v>
                </c:pt>
                <c:pt idx="58">
                  <c:v>9.2795909999999995E-2</c:v>
                </c:pt>
                <c:pt idx="59">
                  <c:v>8.5153629999999994E-2</c:v>
                </c:pt>
                <c:pt idx="60">
                  <c:v>7.7563450000000006E-2</c:v>
                </c:pt>
                <c:pt idx="61">
                  <c:v>7.0066729999999994E-2</c:v>
                </c:pt>
                <c:pt idx="62">
                  <c:v>6.2703789999999995E-2</c:v>
                </c:pt>
                <c:pt idx="63">
                  <c:v>5.5514069999999999E-2</c:v>
                </c:pt>
                <c:pt idx="64">
                  <c:v>4.8536320000000001E-2</c:v>
                </c:pt>
                <c:pt idx="65">
                  <c:v>4.1808940000000003E-2</c:v>
                </c:pt>
                <c:pt idx="66">
                  <c:v>3.537038E-2</c:v>
                </c:pt>
                <c:pt idx="67">
                  <c:v>2.9259899999999998E-2</c:v>
                </c:pt>
                <c:pt idx="68">
                  <c:v>2.3518560000000001E-2</c:v>
                </c:pt>
                <c:pt idx="69">
                  <c:v>1.8190870000000001E-2</c:v>
                </c:pt>
                <c:pt idx="70">
                  <c:v>1.3327479999999999E-2</c:v>
                </c:pt>
                <c:pt idx="71">
                  <c:v>8.9899799999999998E-3</c:v>
                </c:pt>
                <c:pt idx="72">
                  <c:v>5.2607499999999998E-3</c:v>
                </c:pt>
                <c:pt idx="73">
                  <c:v>2.2675199999999999E-3</c:v>
                </c:pt>
                <c:pt idx="74">
                  <c:v>2.7961000000000001E-4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A8-4C62-B8A5-3AAD43A53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546959"/>
        <c:axId val="1648548879"/>
      </c:scatterChart>
      <c:valAx>
        <c:axId val="164854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8879"/>
        <c:crosses val="autoZero"/>
        <c:crossBetween val="midCat"/>
      </c:valAx>
      <c:valAx>
        <c:axId val="164854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6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P2 C0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ThreeParticleAngleWall2C0!$F$2:$F$94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2.3993E-3</c:v>
                </c:pt>
                <c:pt idx="17">
                  <c:v>6.7162599999999999E-3</c:v>
                </c:pt>
                <c:pt idx="18">
                  <c:v>1.2196719999999999E-2</c:v>
                </c:pt>
                <c:pt idx="19">
                  <c:v>1.8541180000000001E-2</c:v>
                </c:pt>
                <c:pt idx="20">
                  <c:v>2.5554609999999998E-2</c:v>
                </c:pt>
                <c:pt idx="21">
                  <c:v>3.3087329999999998E-2</c:v>
                </c:pt>
                <c:pt idx="22">
                  <c:v>4.1014099999999998E-2</c:v>
                </c:pt>
                <c:pt idx="23">
                  <c:v>4.9224959999999998E-2</c:v>
                </c:pt>
                <c:pt idx="24">
                  <c:v>5.7620629999999999E-2</c:v>
                </c:pt>
                <c:pt idx="25">
                  <c:v>6.6110189999999999E-2</c:v>
                </c:pt>
                <c:pt idx="26">
                  <c:v>7.4609819999999993E-2</c:v>
                </c:pt>
                <c:pt idx="27">
                  <c:v>8.3042199999999997E-2</c:v>
                </c:pt>
                <c:pt idx="28">
                  <c:v>9.1336210000000001E-2</c:v>
                </c:pt>
                <c:pt idx="29">
                  <c:v>9.9426810000000004E-2</c:v>
                </c:pt>
                <c:pt idx="30">
                  <c:v>0.10725496</c:v>
                </c:pt>
                <c:pt idx="31">
                  <c:v>0.11476755</c:v>
                </c:pt>
                <c:pt idx="32">
                  <c:v>0.12191736</c:v>
                </c:pt>
                <c:pt idx="33">
                  <c:v>0.12866285</c:v>
                </c:pt>
                <c:pt idx="34">
                  <c:v>0.13496801999999999</c:v>
                </c:pt>
                <c:pt idx="35">
                  <c:v>0.14080211000000001</c:v>
                </c:pt>
                <c:pt idx="36">
                  <c:v>0.14613938000000001</c:v>
                </c:pt>
                <c:pt idx="37">
                  <c:v>0.15095871999999999</c:v>
                </c:pt>
                <c:pt idx="38">
                  <c:v>0.1552433</c:v>
                </c:pt>
                <c:pt idx="39">
                  <c:v>0.15898027000000001</c:v>
                </c:pt>
                <c:pt idx="40">
                  <c:v>0.16216032999999999</c:v>
                </c:pt>
                <c:pt idx="41">
                  <c:v>0.16477744</c:v>
                </c:pt>
                <c:pt idx="42">
                  <c:v>0.16682849999999999</c:v>
                </c:pt>
                <c:pt idx="43">
                  <c:v>0.16831307000000001</c:v>
                </c:pt>
                <c:pt idx="44">
                  <c:v>0.16923311999999999</c:v>
                </c:pt>
                <c:pt idx="45">
                  <c:v>0.16959287000000001</c:v>
                </c:pt>
                <c:pt idx="46">
                  <c:v>0.16939857</c:v>
                </c:pt>
                <c:pt idx="47">
                  <c:v>0.16865843</c:v>
                </c:pt>
                <c:pt idx="48">
                  <c:v>0.16738253</c:v>
                </c:pt>
                <c:pt idx="49">
                  <c:v>0.16558278000000001</c:v>
                </c:pt>
                <c:pt idx="50">
                  <c:v>0.16327285999999999</c:v>
                </c:pt>
                <c:pt idx="51">
                  <c:v>0.16046826</c:v>
                </c:pt>
                <c:pt idx="52">
                  <c:v>0.15718626999999999</c:v>
                </c:pt>
                <c:pt idx="53">
                  <c:v>0.15344600999999999</c:v>
                </c:pt>
                <c:pt idx="54">
                  <c:v>0.14926845999999999</c:v>
                </c:pt>
                <c:pt idx="55">
                  <c:v>0.14467647</c:v>
                </c:pt>
                <c:pt idx="56">
                  <c:v>0.13969477</c:v>
                </c:pt>
                <c:pt idx="57">
                  <c:v>0.13435000999999999</c:v>
                </c:pt>
                <c:pt idx="58">
                  <c:v>0.12867071999999999</c:v>
                </c:pt>
                <c:pt idx="59">
                  <c:v>0.12268730999999999</c:v>
                </c:pt>
                <c:pt idx="60">
                  <c:v>0.11643199999999999</c:v>
                </c:pt>
                <c:pt idx="61">
                  <c:v>0.10993878999999999</c:v>
                </c:pt>
                <c:pt idx="62">
                  <c:v>0.10324339</c:v>
                </c:pt>
                <c:pt idx="63">
                  <c:v>9.6383129999999997E-2</c:v>
                </c:pt>
                <c:pt idx="64">
                  <c:v>8.9396870000000003E-2</c:v>
                </c:pt>
                <c:pt idx="65">
                  <c:v>8.2324910000000001E-2</c:v>
                </c:pt>
                <c:pt idx="66">
                  <c:v>7.5208929999999993E-2</c:v>
                </c:pt>
                <c:pt idx="67">
                  <c:v>6.8091879999999994E-2</c:v>
                </c:pt>
                <c:pt idx="68">
                  <c:v>6.1017979999999999E-2</c:v>
                </c:pt>
                <c:pt idx="69">
                  <c:v>5.4032740000000003E-2</c:v>
                </c:pt>
                <c:pt idx="70">
                  <c:v>4.7183070000000001E-2</c:v>
                </c:pt>
                <c:pt idx="71">
                  <c:v>4.0517450000000003E-2</c:v>
                </c:pt>
                <c:pt idx="72">
                  <c:v>3.4086459999999999E-2</c:v>
                </c:pt>
                <c:pt idx="73">
                  <c:v>2.7943409999999998E-2</c:v>
                </c:pt>
                <c:pt idx="74">
                  <c:v>2.2145640000000001E-2</c:v>
                </c:pt>
                <c:pt idx="75">
                  <c:v>1.6756710000000001E-2</c:v>
                </c:pt>
                <c:pt idx="76">
                  <c:v>1.186137E-2</c:v>
                </c:pt>
                <c:pt idx="77">
                  <c:v>7.5428700000000001E-3</c:v>
                </c:pt>
                <c:pt idx="78">
                  <c:v>3.9176000000000002E-3</c:v>
                </c:pt>
                <c:pt idx="79">
                  <c:v>1.18421E-3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95-4688-98A9-177E5124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440495"/>
        <c:axId val="1855444815"/>
      </c:scatterChart>
      <c:valAx>
        <c:axId val="185544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44815"/>
        <c:crosses val="autoZero"/>
        <c:crossBetween val="midCat"/>
      </c:valAx>
      <c:valAx>
        <c:axId val="185544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4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P2 C0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ThreeParticleAngleWall2C0!$X$2:$X$42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8F-4BA4-9860-A5BFB9D7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09999"/>
        <c:axId val="1776907119"/>
      </c:scatterChart>
      <c:valAx>
        <c:axId val="1776909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07119"/>
        <c:crosses val="autoZero"/>
        <c:crossBetween val="midCat"/>
      </c:valAx>
      <c:valAx>
        <c:axId val="177690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09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C0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ThreeParticleAngleWall0C0!$X$2:$X$42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9-474A-814D-D7286FEFE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92256"/>
        <c:axId val="1237509056"/>
      </c:scatterChart>
      <c:valAx>
        <c:axId val="123749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509056"/>
        <c:crosses val="autoZero"/>
        <c:crossBetween val="midCat"/>
      </c:valAx>
      <c:valAx>
        <c:axId val="123750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49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C1 ACC 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ThreeParticleAngleWall0C1!$X$2:$X$42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4-437D-A783-142B32BCF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917679"/>
        <c:axId val="1776928719"/>
      </c:scatterChart>
      <c:valAx>
        <c:axId val="1776917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28719"/>
        <c:crosses val="autoZero"/>
        <c:crossBetween val="midCat"/>
      </c:valAx>
      <c:valAx>
        <c:axId val="177692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917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ThreeParticleAngleWall0C0!$Q$2:$Q$94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8.8659999999999995E-5</c:v>
                </c:pt>
                <c:pt idx="13">
                  <c:v>7.9018000000000003E-4</c:v>
                </c:pt>
                <c:pt idx="14">
                  <c:v>1.8438300000000001E-3</c:v>
                </c:pt>
                <c:pt idx="15">
                  <c:v>3.1408199999999999E-3</c:v>
                </c:pt>
                <c:pt idx="16">
                  <c:v>4.6267499999999998E-3</c:v>
                </c:pt>
                <c:pt idx="17">
                  <c:v>6.2610000000000001E-3</c:v>
                </c:pt>
                <c:pt idx="18">
                  <c:v>8.01405E-3</c:v>
                </c:pt>
                <c:pt idx="19">
                  <c:v>9.8590199999999996E-3</c:v>
                </c:pt>
                <c:pt idx="20">
                  <c:v>1.177126E-2</c:v>
                </c:pt>
                <c:pt idx="21">
                  <c:v>1.3727619999999999E-2</c:v>
                </c:pt>
                <c:pt idx="22">
                  <c:v>1.5706080000000001E-2</c:v>
                </c:pt>
                <c:pt idx="23">
                  <c:v>1.768552E-2</c:v>
                </c:pt>
                <c:pt idx="24">
                  <c:v>1.9645760000000002E-2</c:v>
                </c:pt>
                <c:pt idx="25">
                  <c:v>2.1567619999999999E-2</c:v>
                </c:pt>
                <c:pt idx="26">
                  <c:v>2.3432939999999999E-2</c:v>
                </c:pt>
                <c:pt idx="27">
                  <c:v>2.5224770000000001E-2</c:v>
                </c:pt>
                <c:pt idx="28">
                  <c:v>2.6927469999999998E-2</c:v>
                </c:pt>
                <c:pt idx="29">
                  <c:v>2.852681E-2</c:v>
                </c:pt>
                <c:pt idx="30">
                  <c:v>3.0010060000000002E-2</c:v>
                </c:pt>
                <c:pt idx="31">
                  <c:v>3.1366140000000001E-2</c:v>
                </c:pt>
                <c:pt idx="32">
                  <c:v>3.2585580000000003E-2</c:v>
                </c:pt>
                <c:pt idx="33">
                  <c:v>3.3660639999999999E-2</c:v>
                </c:pt>
                <c:pt idx="34">
                  <c:v>3.4585280000000003E-2</c:v>
                </c:pt>
                <c:pt idx="35">
                  <c:v>3.5355110000000002E-2</c:v>
                </c:pt>
                <c:pt idx="36">
                  <c:v>3.5967409999999998E-2</c:v>
                </c:pt>
                <c:pt idx="37">
                  <c:v>3.6421000000000002E-2</c:v>
                </c:pt>
                <c:pt idx="38">
                  <c:v>3.6716199999999997E-2</c:v>
                </c:pt>
                <c:pt idx="39">
                  <c:v>3.6854709999999999E-2</c:v>
                </c:pt>
                <c:pt idx="40">
                  <c:v>3.6839490000000003E-2</c:v>
                </c:pt>
                <c:pt idx="41">
                  <c:v>3.6674659999999998E-2</c:v>
                </c:pt>
                <c:pt idx="42">
                  <c:v>3.6365359999999999E-2</c:v>
                </c:pt>
                <c:pt idx="43">
                  <c:v>3.5917650000000002E-2</c:v>
                </c:pt>
                <c:pt idx="44">
                  <c:v>3.5338370000000001E-2</c:v>
                </c:pt>
                <c:pt idx="45">
                  <c:v>3.4634989999999997E-2</c:v>
                </c:pt>
                <c:pt idx="46">
                  <c:v>3.381559E-2</c:v>
                </c:pt>
                <c:pt idx="47">
                  <c:v>3.2888639999999997E-2</c:v>
                </c:pt>
                <c:pt idx="48">
                  <c:v>3.1863000000000002E-2</c:v>
                </c:pt>
                <c:pt idx="49">
                  <c:v>3.0747759999999999E-2</c:v>
                </c:pt>
                <c:pt idx="50">
                  <c:v>2.9552229999999999E-2</c:v>
                </c:pt>
                <c:pt idx="51">
                  <c:v>2.8285790000000002E-2</c:v>
                </c:pt>
                <c:pt idx="52">
                  <c:v>2.6957869999999998E-2</c:v>
                </c:pt>
                <c:pt idx="53">
                  <c:v>2.5577909999999999E-2</c:v>
                </c:pt>
                <c:pt idx="54">
                  <c:v>2.415525E-2</c:v>
                </c:pt>
                <c:pt idx="55">
                  <c:v>2.2699150000000001E-2</c:v>
                </c:pt>
                <c:pt idx="56">
                  <c:v>2.1218710000000002E-2</c:v>
                </c:pt>
                <c:pt idx="57">
                  <c:v>1.9722900000000002E-2</c:v>
                </c:pt>
                <c:pt idx="58">
                  <c:v>1.8220429999999999E-2</c:v>
                </c:pt>
                <c:pt idx="59">
                  <c:v>1.6719879999999999E-2</c:v>
                </c:pt>
                <c:pt idx="60">
                  <c:v>1.522955E-2</c:v>
                </c:pt>
                <c:pt idx="61">
                  <c:v>1.375757E-2</c:v>
                </c:pt>
                <c:pt idx="62">
                  <c:v>1.2311860000000001E-2</c:v>
                </c:pt>
                <c:pt idx="63">
                  <c:v>1.0900160000000001E-2</c:v>
                </c:pt>
                <c:pt idx="64">
                  <c:v>9.5300899999999997E-3</c:v>
                </c:pt>
                <c:pt idx="65">
                  <c:v>8.20917E-3</c:v>
                </c:pt>
                <c:pt idx="66">
                  <c:v>6.94496E-3</c:v>
                </c:pt>
                <c:pt idx="67">
                  <c:v>5.74517E-3</c:v>
                </c:pt>
                <c:pt idx="68">
                  <c:v>4.6178599999999997E-3</c:v>
                </c:pt>
                <c:pt idx="69">
                  <c:v>3.5717700000000002E-3</c:v>
                </c:pt>
                <c:pt idx="70">
                  <c:v>2.6168400000000001E-3</c:v>
                </c:pt>
                <c:pt idx="71">
                  <c:v>1.7651800000000001E-3</c:v>
                </c:pt>
                <c:pt idx="72">
                  <c:v>1.0329499999999999E-3</c:v>
                </c:pt>
                <c:pt idx="73">
                  <c:v>4.4523000000000002E-4</c:v>
                </c:pt>
                <c:pt idx="74">
                  <c:v>5.49E-5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86E-B67E-A11547E3753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ThreeParticleAngleWall0C1!$Q$2:$Q$94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4.7110000000000001E-4</c:v>
                </c:pt>
                <c:pt idx="17">
                  <c:v>1.3187299999999999E-3</c:v>
                </c:pt>
                <c:pt idx="18">
                  <c:v>2.3948200000000002E-3</c:v>
                </c:pt>
                <c:pt idx="19">
                  <c:v>3.6405500000000002E-3</c:v>
                </c:pt>
                <c:pt idx="20">
                  <c:v>5.0176400000000003E-3</c:v>
                </c:pt>
                <c:pt idx="21">
                  <c:v>6.4966800000000003E-3</c:v>
                </c:pt>
                <c:pt idx="22">
                  <c:v>8.0531000000000005E-3</c:v>
                </c:pt>
                <c:pt idx="23">
                  <c:v>9.6652999999999999E-3</c:v>
                </c:pt>
                <c:pt idx="24">
                  <c:v>1.1313780000000001E-2</c:v>
                </c:pt>
                <c:pt idx="25">
                  <c:v>1.2980709999999999E-2</c:v>
                </c:pt>
                <c:pt idx="26">
                  <c:v>1.46496E-2</c:v>
                </c:pt>
                <c:pt idx="27">
                  <c:v>1.6305299999999998E-2</c:v>
                </c:pt>
                <c:pt idx="28">
                  <c:v>1.793382E-2</c:v>
                </c:pt>
                <c:pt idx="29">
                  <c:v>1.952241E-2</c:v>
                </c:pt>
                <c:pt idx="30">
                  <c:v>2.1059459999999999E-2</c:v>
                </c:pt>
                <c:pt idx="31">
                  <c:v>2.2534559999999999E-2</c:v>
                </c:pt>
                <c:pt idx="32">
                  <c:v>2.3938419999999998E-2</c:v>
                </c:pt>
                <c:pt idx="33">
                  <c:v>2.526289E-2</c:v>
                </c:pt>
                <c:pt idx="34">
                  <c:v>2.6500909999999999E-2</c:v>
                </c:pt>
                <c:pt idx="35">
                  <c:v>2.764643E-2</c:v>
                </c:pt>
                <c:pt idx="36">
                  <c:v>2.8694399999999998E-2</c:v>
                </c:pt>
                <c:pt idx="37">
                  <c:v>2.9640670000000001E-2</c:v>
                </c:pt>
                <c:pt idx="38">
                  <c:v>3.0481950000000001E-2</c:v>
                </c:pt>
                <c:pt idx="39">
                  <c:v>3.1215699999999999E-2</c:v>
                </c:pt>
                <c:pt idx="40">
                  <c:v>3.1840109999999998E-2</c:v>
                </c:pt>
                <c:pt idx="41">
                  <c:v>3.2353970000000003E-2</c:v>
                </c:pt>
                <c:pt idx="42">
                  <c:v>3.27567E-2</c:v>
                </c:pt>
                <c:pt idx="43">
                  <c:v>3.3048189999999998E-2</c:v>
                </c:pt>
                <c:pt idx="44">
                  <c:v>3.3228849999999997E-2</c:v>
                </c:pt>
                <c:pt idx="45">
                  <c:v>3.3299479999999999E-2</c:v>
                </c:pt>
                <c:pt idx="46">
                  <c:v>3.3261329999999999E-2</c:v>
                </c:pt>
                <c:pt idx="47">
                  <c:v>3.3116E-2</c:v>
                </c:pt>
                <c:pt idx="48">
                  <c:v>3.2865480000000002E-2</c:v>
                </c:pt>
                <c:pt idx="49">
                  <c:v>3.2512100000000002E-2</c:v>
                </c:pt>
                <c:pt idx="50">
                  <c:v>3.2058549999999998E-2</c:v>
                </c:pt>
                <c:pt idx="51">
                  <c:v>3.150787E-2</c:v>
                </c:pt>
                <c:pt idx="52">
                  <c:v>3.0863450000000001E-2</c:v>
                </c:pt>
                <c:pt idx="53">
                  <c:v>3.0129050000000001E-2</c:v>
                </c:pt>
                <c:pt idx="54">
                  <c:v>2.9308790000000001E-2</c:v>
                </c:pt>
                <c:pt idx="55">
                  <c:v>2.8407160000000001E-2</c:v>
                </c:pt>
                <c:pt idx="56">
                  <c:v>2.7428999999999999E-2</c:v>
                </c:pt>
                <c:pt idx="57">
                  <c:v>2.637956E-2</c:v>
                </c:pt>
                <c:pt idx="58">
                  <c:v>2.5264439999999999E-2</c:v>
                </c:pt>
                <c:pt idx="59">
                  <c:v>2.4089599999999999E-2</c:v>
                </c:pt>
                <c:pt idx="60">
                  <c:v>2.2861369999999999E-2</c:v>
                </c:pt>
                <c:pt idx="61">
                  <c:v>2.158643E-2</c:v>
                </c:pt>
                <c:pt idx="62">
                  <c:v>2.0271790000000001E-2</c:v>
                </c:pt>
                <c:pt idx="63">
                  <c:v>1.8924779999999999E-2</c:v>
                </c:pt>
                <c:pt idx="64">
                  <c:v>1.7553030000000001E-2</c:v>
                </c:pt>
                <c:pt idx="65">
                  <c:v>1.6164459999999999E-2</c:v>
                </c:pt>
                <c:pt idx="66">
                  <c:v>1.4767239999999999E-2</c:v>
                </c:pt>
                <c:pt idx="67">
                  <c:v>1.3369809999999999E-2</c:v>
                </c:pt>
                <c:pt idx="68">
                  <c:v>1.1980849999999999E-2</c:v>
                </c:pt>
                <c:pt idx="69">
                  <c:v>1.06093E-2</c:v>
                </c:pt>
                <c:pt idx="70">
                  <c:v>9.2643699999999992E-3</c:v>
                </c:pt>
                <c:pt idx="71">
                  <c:v>7.9555800000000003E-3</c:v>
                </c:pt>
                <c:pt idx="72">
                  <c:v>6.6928600000000001E-3</c:v>
                </c:pt>
                <c:pt idx="73">
                  <c:v>5.4866699999999999E-3</c:v>
                </c:pt>
                <c:pt idx="74">
                  <c:v>4.3482900000000003E-3</c:v>
                </c:pt>
                <c:pt idx="75">
                  <c:v>3.2901699999999998E-3</c:v>
                </c:pt>
                <c:pt idx="76">
                  <c:v>2.3289700000000001E-3</c:v>
                </c:pt>
                <c:pt idx="77">
                  <c:v>1.4810400000000001E-3</c:v>
                </c:pt>
                <c:pt idx="78">
                  <c:v>7.6922000000000004E-4</c:v>
                </c:pt>
                <c:pt idx="79">
                  <c:v>2.3252E-4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5-486E-B67E-A11547E37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551840"/>
        <c:axId val="1553556160"/>
      </c:scatterChart>
      <c:valAx>
        <c:axId val="155355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56160"/>
        <c:crosses val="autoZero"/>
        <c:crossBetween val="midCat"/>
      </c:valAx>
      <c:valAx>
        <c:axId val="15535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5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</a:t>
            </a:r>
            <a:r>
              <a:rPr lang="en-US" baseline="0"/>
              <a:t> VMAG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ThreeParticleAngleWall0C0!$G$3:$G$94</c:f>
              <c:numCache>
                <c:formatCode>General</c:formatCode>
                <c:ptCount val="9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0.99992334999999999</c:v>
                </c:pt>
                <c:pt idx="13">
                  <c:v>0.99924444999999995</c:v>
                </c:pt>
                <c:pt idx="14">
                  <c:v>0.99767108999999998</c:v>
                </c:pt>
                <c:pt idx="15">
                  <c:v>0.99501143000000003</c:v>
                </c:pt>
                <c:pt idx="16">
                  <c:v>0.98829149000000005</c:v>
                </c:pt>
                <c:pt idx="17">
                  <c:v>0.98041606000000003</c:v>
                </c:pt>
                <c:pt idx="18">
                  <c:v>0.96969671999999996</c:v>
                </c:pt>
                <c:pt idx="19">
                  <c:v>0.95589393</c:v>
                </c:pt>
                <c:pt idx="20">
                  <c:v>0.93885876999999995</c:v>
                </c:pt>
                <c:pt idx="21">
                  <c:v>0.91851432</c:v>
                </c:pt>
                <c:pt idx="22">
                  <c:v>0.89484587000000004</c:v>
                </c:pt>
                <c:pt idx="23">
                  <c:v>0.86789437999999997</c:v>
                </c:pt>
                <c:pt idx="24">
                  <c:v>0.83775138999999998</c:v>
                </c:pt>
                <c:pt idx="25">
                  <c:v>0.80455460999999995</c:v>
                </c:pt>
                <c:pt idx="26">
                  <c:v>0.76848380000000005</c:v>
                </c:pt>
                <c:pt idx="27">
                  <c:v>0.72975701999999998</c:v>
                </c:pt>
                <c:pt idx="28">
                  <c:v>0.68862729</c:v>
                </c:pt>
                <c:pt idx="29">
                  <c:v>0.64537997000000003</c:v>
                </c:pt>
                <c:pt idx="30">
                  <c:v>0.60033143</c:v>
                </c:pt>
                <c:pt idx="31">
                  <c:v>0.55382978999999999</c:v>
                </c:pt>
                <c:pt idx="32">
                  <c:v>0.50625924</c:v>
                </c:pt>
                <c:pt idx="33">
                  <c:v>0.45805033000000001</c:v>
                </c:pt>
                <c:pt idx="34">
                  <c:v>0.40970073000000001</c:v>
                </c:pt>
                <c:pt idx="35">
                  <c:v>0.36181427999999999</c:v>
                </c:pt>
                <c:pt idx="36">
                  <c:v>0.3151736</c:v>
                </c:pt>
                <c:pt idx="37">
                  <c:v>0.27087281000000002</c:v>
                </c:pt>
                <c:pt idx="38">
                  <c:v>0.23055031000000001</c:v>
                </c:pt>
                <c:pt idx="39">
                  <c:v>0.1967354</c:v>
                </c:pt>
                <c:pt idx="40">
                  <c:v>0.17308307000000001</c:v>
                </c:pt>
                <c:pt idx="41">
                  <c:v>0.16358559</c:v>
                </c:pt>
                <c:pt idx="42">
                  <c:v>0.16996706</c:v>
                </c:pt>
                <c:pt idx="43">
                  <c:v>0.18989629</c:v>
                </c:pt>
                <c:pt idx="44">
                  <c:v>0.21896450000000001</c:v>
                </c:pt>
                <c:pt idx="45">
                  <c:v>0.25333175000000002</c:v>
                </c:pt>
                <c:pt idx="46">
                  <c:v>0.29045281000000001</c:v>
                </c:pt>
                <c:pt idx="47">
                  <c:v>0.32877623</c:v>
                </c:pt>
                <c:pt idx="48">
                  <c:v>0.36735759000000001</c:v>
                </c:pt>
                <c:pt idx="49">
                  <c:v>0.40560496000000001</c:v>
                </c:pt>
                <c:pt idx="50">
                  <c:v>0.44313340000000001</c:v>
                </c:pt>
                <c:pt idx="51">
                  <c:v>0.47968354000000002</c:v>
                </c:pt>
                <c:pt idx="52">
                  <c:v>0.51507510999999995</c:v>
                </c:pt>
                <c:pt idx="53">
                  <c:v>0.54917956999999995</c:v>
                </c:pt>
                <c:pt idx="54">
                  <c:v>0.58190343</c:v>
                </c:pt>
                <c:pt idx="55">
                  <c:v>0.61317765999999996</c:v>
                </c:pt>
                <c:pt idx="56">
                  <c:v>0.64295080999999998</c:v>
                </c:pt>
                <c:pt idx="57">
                  <c:v>0.67118454999999999</c:v>
                </c:pt>
                <c:pt idx="58">
                  <c:v>0.69785054999999996</c:v>
                </c:pt>
                <c:pt idx="59">
                  <c:v>0.72292855</c:v>
                </c:pt>
                <c:pt idx="60">
                  <c:v>0.74640503000000002</c:v>
                </c:pt>
                <c:pt idx="61">
                  <c:v>0.76827245</c:v>
                </c:pt>
                <c:pt idx="62">
                  <c:v>0.78852887000000005</c:v>
                </c:pt>
                <c:pt idx="63">
                  <c:v>0.80717784999999997</c:v>
                </c:pt>
                <c:pt idx="64">
                  <c:v>0.82422863000000002</c:v>
                </c:pt>
                <c:pt idx="65">
                  <c:v>0.83969643000000005</c:v>
                </c:pt>
                <c:pt idx="66">
                  <c:v>0.85360296000000002</c:v>
                </c:pt>
                <c:pt idx="67">
                  <c:v>0.86597707999999995</c:v>
                </c:pt>
                <c:pt idx="68">
                  <c:v>0.87685564999999999</c:v>
                </c:pt>
                <c:pt idx="69">
                  <c:v>0.88628454000000001</c:v>
                </c:pt>
                <c:pt idx="70">
                  <c:v>0.89432007000000002</c:v>
                </c:pt>
                <c:pt idx="71">
                  <c:v>0.90103096000000005</c:v>
                </c:pt>
                <c:pt idx="72">
                  <c:v>0.90650156999999998</c:v>
                </c:pt>
                <c:pt idx="73">
                  <c:v>0.91083807000000006</c:v>
                </c:pt>
                <c:pt idx="74">
                  <c:v>0.91418626999999997</c:v>
                </c:pt>
                <c:pt idx="75">
                  <c:v>0.91530303999999996</c:v>
                </c:pt>
                <c:pt idx="76">
                  <c:v>0.91609607000000004</c:v>
                </c:pt>
                <c:pt idx="77">
                  <c:v>0.91660149000000002</c:v>
                </c:pt>
                <c:pt idx="78">
                  <c:v>0.91686436000000004</c:v>
                </c:pt>
                <c:pt idx="79">
                  <c:v>0.91694388000000004</c:v>
                </c:pt>
                <c:pt idx="80">
                  <c:v>0.91694388000000004</c:v>
                </c:pt>
                <c:pt idx="81">
                  <c:v>0.91694388000000004</c:v>
                </c:pt>
                <c:pt idx="82">
                  <c:v>0.91694388000000004</c:v>
                </c:pt>
                <c:pt idx="83">
                  <c:v>0.91694388000000004</c:v>
                </c:pt>
                <c:pt idx="84">
                  <c:v>0.91694388000000004</c:v>
                </c:pt>
                <c:pt idx="85">
                  <c:v>0.91694388000000004</c:v>
                </c:pt>
                <c:pt idx="86">
                  <c:v>0.91694388000000004</c:v>
                </c:pt>
                <c:pt idx="87">
                  <c:v>0.91694388000000004</c:v>
                </c:pt>
                <c:pt idx="88">
                  <c:v>0.91694388000000004</c:v>
                </c:pt>
                <c:pt idx="89">
                  <c:v>0.91694388000000004</c:v>
                </c:pt>
                <c:pt idx="90">
                  <c:v>0.91694388000000004</c:v>
                </c:pt>
                <c:pt idx="91">
                  <c:v>0.91694388000000004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0-425D-A718-53D9899C3C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ThreeParticleAngleWall0C1!$G$3:$G$94</c:f>
              <c:numCache>
                <c:formatCode>General</c:formatCode>
                <c:ptCount val="9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0.99992334999999999</c:v>
                </c:pt>
                <c:pt idx="13">
                  <c:v>0.99924444999999995</c:v>
                </c:pt>
                <c:pt idx="14">
                  <c:v>0.99767108999999998</c:v>
                </c:pt>
                <c:pt idx="15">
                  <c:v>0.99501143000000003</c:v>
                </c:pt>
                <c:pt idx="16">
                  <c:v>0.98829149000000005</c:v>
                </c:pt>
                <c:pt idx="17">
                  <c:v>0.98041606000000003</c:v>
                </c:pt>
                <c:pt idx="18">
                  <c:v>0.96969671999999996</c:v>
                </c:pt>
                <c:pt idx="19">
                  <c:v>0.95589393</c:v>
                </c:pt>
                <c:pt idx="20">
                  <c:v>0.93885876999999995</c:v>
                </c:pt>
                <c:pt idx="21">
                  <c:v>0.91851432</c:v>
                </c:pt>
                <c:pt idx="22">
                  <c:v>0.89484587000000004</c:v>
                </c:pt>
                <c:pt idx="23">
                  <c:v>0.86789437999999997</c:v>
                </c:pt>
                <c:pt idx="24">
                  <c:v>0.83775138999999998</c:v>
                </c:pt>
                <c:pt idx="25">
                  <c:v>0.80455460999999995</c:v>
                </c:pt>
                <c:pt idx="26">
                  <c:v>0.76848380000000005</c:v>
                </c:pt>
                <c:pt idx="27">
                  <c:v>0.72975701999999998</c:v>
                </c:pt>
                <c:pt idx="28">
                  <c:v>0.68862729</c:v>
                </c:pt>
                <c:pt idx="29">
                  <c:v>0.64537997000000003</c:v>
                </c:pt>
                <c:pt idx="30">
                  <c:v>0.60033143</c:v>
                </c:pt>
                <c:pt idx="31">
                  <c:v>0.55382978999999999</c:v>
                </c:pt>
                <c:pt idx="32">
                  <c:v>0.50625924</c:v>
                </c:pt>
                <c:pt idx="33">
                  <c:v>0.45805033000000001</c:v>
                </c:pt>
                <c:pt idx="34">
                  <c:v>0.40970073000000001</c:v>
                </c:pt>
                <c:pt idx="35">
                  <c:v>0.36181427999999999</c:v>
                </c:pt>
                <c:pt idx="36">
                  <c:v>0.3151736</c:v>
                </c:pt>
                <c:pt idx="37">
                  <c:v>0.27087281000000002</c:v>
                </c:pt>
                <c:pt idx="38">
                  <c:v>0.23055031000000001</c:v>
                </c:pt>
                <c:pt idx="39">
                  <c:v>0.1967354</c:v>
                </c:pt>
                <c:pt idx="40">
                  <c:v>0.17308307000000001</c:v>
                </c:pt>
                <c:pt idx="41">
                  <c:v>0.16358559</c:v>
                </c:pt>
                <c:pt idx="42">
                  <c:v>0.16996706</c:v>
                </c:pt>
                <c:pt idx="43">
                  <c:v>0.18989629</c:v>
                </c:pt>
                <c:pt idx="44">
                  <c:v>0.21896450000000001</c:v>
                </c:pt>
                <c:pt idx="45">
                  <c:v>0.25333175000000002</c:v>
                </c:pt>
                <c:pt idx="46">
                  <c:v>0.29045281000000001</c:v>
                </c:pt>
                <c:pt idx="47">
                  <c:v>0.32877623</c:v>
                </c:pt>
                <c:pt idx="48">
                  <c:v>0.36735759000000001</c:v>
                </c:pt>
                <c:pt idx="49">
                  <c:v>0.40560496000000001</c:v>
                </c:pt>
                <c:pt idx="50">
                  <c:v>0.44313340000000001</c:v>
                </c:pt>
                <c:pt idx="51">
                  <c:v>0.47968354000000002</c:v>
                </c:pt>
                <c:pt idx="52">
                  <c:v>0.51507510999999995</c:v>
                </c:pt>
                <c:pt idx="53">
                  <c:v>0.54917956999999995</c:v>
                </c:pt>
                <c:pt idx="54">
                  <c:v>0.58190343</c:v>
                </c:pt>
                <c:pt idx="55">
                  <c:v>0.61317765999999996</c:v>
                </c:pt>
                <c:pt idx="56">
                  <c:v>0.64295080999999998</c:v>
                </c:pt>
                <c:pt idx="57">
                  <c:v>0.67118454999999999</c:v>
                </c:pt>
                <c:pt idx="58">
                  <c:v>0.69785054999999996</c:v>
                </c:pt>
                <c:pt idx="59">
                  <c:v>0.72292855</c:v>
                </c:pt>
                <c:pt idx="60">
                  <c:v>0.74640503000000002</c:v>
                </c:pt>
                <c:pt idx="61">
                  <c:v>0.76827245</c:v>
                </c:pt>
                <c:pt idx="62">
                  <c:v>0.78852887000000005</c:v>
                </c:pt>
                <c:pt idx="63">
                  <c:v>0.80717784999999997</c:v>
                </c:pt>
                <c:pt idx="64">
                  <c:v>0.82422863000000002</c:v>
                </c:pt>
                <c:pt idx="65">
                  <c:v>0.83969643000000005</c:v>
                </c:pt>
                <c:pt idx="66">
                  <c:v>0.85360296000000002</c:v>
                </c:pt>
                <c:pt idx="67">
                  <c:v>0.86597707999999995</c:v>
                </c:pt>
                <c:pt idx="68">
                  <c:v>0.87685564999999999</c:v>
                </c:pt>
                <c:pt idx="69">
                  <c:v>0.88628454000000001</c:v>
                </c:pt>
                <c:pt idx="70">
                  <c:v>0.89432007000000002</c:v>
                </c:pt>
                <c:pt idx="71">
                  <c:v>0.90103096000000005</c:v>
                </c:pt>
                <c:pt idx="72">
                  <c:v>0.90650156999999998</c:v>
                </c:pt>
                <c:pt idx="73">
                  <c:v>0.91083807000000006</c:v>
                </c:pt>
                <c:pt idx="74">
                  <c:v>0.91418626999999997</c:v>
                </c:pt>
                <c:pt idx="75">
                  <c:v>0.91530303999999996</c:v>
                </c:pt>
                <c:pt idx="76">
                  <c:v>0.91609607000000004</c:v>
                </c:pt>
                <c:pt idx="77">
                  <c:v>0.91660149000000002</c:v>
                </c:pt>
                <c:pt idx="78">
                  <c:v>0.91686436000000004</c:v>
                </c:pt>
                <c:pt idx="79">
                  <c:v>0.91694388000000004</c:v>
                </c:pt>
                <c:pt idx="80">
                  <c:v>0.91694388000000004</c:v>
                </c:pt>
                <c:pt idx="81">
                  <c:v>0.91694388000000004</c:v>
                </c:pt>
                <c:pt idx="82">
                  <c:v>0.91694388000000004</c:v>
                </c:pt>
                <c:pt idx="83">
                  <c:v>0.91694388000000004</c:v>
                </c:pt>
                <c:pt idx="84">
                  <c:v>0.91694388000000004</c:v>
                </c:pt>
                <c:pt idx="85">
                  <c:v>0.91694388000000004</c:v>
                </c:pt>
                <c:pt idx="86">
                  <c:v>0.91694388000000004</c:v>
                </c:pt>
                <c:pt idx="87">
                  <c:v>0.91694388000000004</c:v>
                </c:pt>
                <c:pt idx="88">
                  <c:v>0.91694388000000004</c:v>
                </c:pt>
                <c:pt idx="89">
                  <c:v>0.91694388000000004</c:v>
                </c:pt>
                <c:pt idx="90">
                  <c:v>0.91694388000000004</c:v>
                </c:pt>
                <c:pt idx="91">
                  <c:v>0.91694388000000004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20-425D-A718-53D9899C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549440"/>
        <c:axId val="1553557120"/>
      </c:scatterChart>
      <c:valAx>
        <c:axId val="155354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57120"/>
        <c:crosses val="autoZero"/>
        <c:crossBetween val="midCat"/>
      </c:valAx>
      <c:valAx>
        <c:axId val="155355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P0</a:t>
            </a:r>
            <a:r>
              <a:rPr lang="en-US" baseline="0"/>
              <a:t> ANG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ThreeParticleAngleWall0C0!$J$2:$J$94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6.2831000000000001</c:v>
                </c:pt>
                <c:pt idx="14">
                  <c:v>6.2827000000000002</c:v>
                </c:pt>
                <c:pt idx="15">
                  <c:v>6.2817999999999996</c:v>
                </c:pt>
                <c:pt idx="16">
                  <c:v>6.2801</c:v>
                </c:pt>
                <c:pt idx="17">
                  <c:v>6.2760999999999996</c:v>
                </c:pt>
                <c:pt idx="18">
                  <c:v>6.2721</c:v>
                </c:pt>
                <c:pt idx="19">
                  <c:v>6.2674000000000003</c:v>
                </c:pt>
                <c:pt idx="20">
                  <c:v>6.2619999999999996</c:v>
                </c:pt>
                <c:pt idx="21">
                  <c:v>6.2557999999999998</c:v>
                </c:pt>
                <c:pt idx="22">
                  <c:v>6.2488999999999999</c:v>
                </c:pt>
                <c:pt idx="23">
                  <c:v>6.2411000000000003</c:v>
                </c:pt>
                <c:pt idx="24">
                  <c:v>6.2321999999999997</c:v>
                </c:pt>
                <c:pt idx="25">
                  <c:v>6.2222</c:v>
                </c:pt>
                <c:pt idx="26">
                  <c:v>6.2108999999999996</c:v>
                </c:pt>
                <c:pt idx="27">
                  <c:v>6.1980000000000004</c:v>
                </c:pt>
                <c:pt idx="28">
                  <c:v>6.1832000000000003</c:v>
                </c:pt>
                <c:pt idx="29">
                  <c:v>6.1661000000000001</c:v>
                </c:pt>
                <c:pt idx="30">
                  <c:v>6.1463000000000001</c:v>
                </c:pt>
                <c:pt idx="31">
                  <c:v>6.1230000000000002</c:v>
                </c:pt>
                <c:pt idx="32">
                  <c:v>6.0953999999999997</c:v>
                </c:pt>
                <c:pt idx="33">
                  <c:v>6.0622999999999996</c:v>
                </c:pt>
                <c:pt idx="34">
                  <c:v>6.0220000000000002</c:v>
                </c:pt>
                <c:pt idx="35">
                  <c:v>5.9722</c:v>
                </c:pt>
                <c:pt idx="36">
                  <c:v>5.9092000000000002</c:v>
                </c:pt>
                <c:pt idx="37">
                  <c:v>5.8277000000000001</c:v>
                </c:pt>
                <c:pt idx="38">
                  <c:v>5.7199</c:v>
                </c:pt>
                <c:pt idx="39">
                  <c:v>5.5739999999999998</c:v>
                </c:pt>
                <c:pt idx="40">
                  <c:v>5.3754999999999997</c:v>
                </c:pt>
                <c:pt idx="41">
                  <c:v>5.1136999999999997</c:v>
                </c:pt>
                <c:pt idx="42">
                  <c:v>4.8022999999999998</c:v>
                </c:pt>
                <c:pt idx="43">
                  <c:v>4.4898999999999996</c:v>
                </c:pt>
                <c:pt idx="44">
                  <c:v>4.2256</c:v>
                </c:pt>
                <c:pt idx="45">
                  <c:v>4.0239000000000003</c:v>
                </c:pt>
                <c:pt idx="46">
                  <c:v>3.8744000000000001</c:v>
                </c:pt>
                <c:pt idx="47">
                  <c:v>3.7625999999999999</c:v>
                </c:pt>
                <c:pt idx="48">
                  <c:v>3.6766000000000001</c:v>
                </c:pt>
                <c:pt idx="49">
                  <c:v>3.6086</c:v>
                </c:pt>
                <c:pt idx="50">
                  <c:v>3.5531000000000001</c:v>
                </c:pt>
                <c:pt idx="51">
                  <c:v>3.5068000000000001</c:v>
                </c:pt>
                <c:pt idx="52">
                  <c:v>3.4672000000000001</c:v>
                </c:pt>
                <c:pt idx="53">
                  <c:v>3.4325999999999999</c:v>
                </c:pt>
                <c:pt idx="54">
                  <c:v>3.4020000000000001</c:v>
                </c:pt>
                <c:pt idx="55">
                  <c:v>3.3744999999999998</c:v>
                </c:pt>
                <c:pt idx="56">
                  <c:v>3.3494000000000002</c:v>
                </c:pt>
                <c:pt idx="57">
                  <c:v>3.3264</c:v>
                </c:pt>
                <c:pt idx="58">
                  <c:v>3.3050999999999999</c:v>
                </c:pt>
                <c:pt idx="59">
                  <c:v>3.2852000000000001</c:v>
                </c:pt>
                <c:pt idx="60">
                  <c:v>3.2665000000000002</c:v>
                </c:pt>
                <c:pt idx="61">
                  <c:v>3.2490000000000001</c:v>
                </c:pt>
                <c:pt idx="62">
                  <c:v>3.2324999999999999</c:v>
                </c:pt>
                <c:pt idx="63">
                  <c:v>3.2168000000000001</c:v>
                </c:pt>
                <c:pt idx="64">
                  <c:v>3.202</c:v>
                </c:pt>
                <c:pt idx="65">
                  <c:v>3.1880000000000002</c:v>
                </c:pt>
                <c:pt idx="66">
                  <c:v>3.1747999999999998</c:v>
                </c:pt>
                <c:pt idx="67">
                  <c:v>3.1621999999999999</c:v>
                </c:pt>
                <c:pt idx="68">
                  <c:v>3.1503999999999999</c:v>
                </c:pt>
                <c:pt idx="69">
                  <c:v>3.1393</c:v>
                </c:pt>
                <c:pt idx="70">
                  <c:v>3.129</c:v>
                </c:pt>
                <c:pt idx="71">
                  <c:v>3.1194000000000002</c:v>
                </c:pt>
                <c:pt idx="72">
                  <c:v>3.1105</c:v>
                </c:pt>
                <c:pt idx="73">
                  <c:v>3.1025</c:v>
                </c:pt>
                <c:pt idx="74">
                  <c:v>3.0954000000000002</c:v>
                </c:pt>
                <c:pt idx="75">
                  <c:v>3.0891999999999999</c:v>
                </c:pt>
                <c:pt idx="76">
                  <c:v>3.0872000000000002</c:v>
                </c:pt>
                <c:pt idx="77">
                  <c:v>3.0857000000000001</c:v>
                </c:pt>
                <c:pt idx="78">
                  <c:v>3.0848</c:v>
                </c:pt>
                <c:pt idx="79">
                  <c:v>3.0842999999999998</c:v>
                </c:pt>
                <c:pt idx="80">
                  <c:v>3.0842000000000001</c:v>
                </c:pt>
                <c:pt idx="81">
                  <c:v>3.0842000000000001</c:v>
                </c:pt>
                <c:pt idx="82">
                  <c:v>3.0842000000000001</c:v>
                </c:pt>
                <c:pt idx="83">
                  <c:v>3.0842000000000001</c:v>
                </c:pt>
                <c:pt idx="84">
                  <c:v>3.0842000000000001</c:v>
                </c:pt>
                <c:pt idx="85">
                  <c:v>3.0842000000000001</c:v>
                </c:pt>
                <c:pt idx="86">
                  <c:v>3.0842000000000001</c:v>
                </c:pt>
                <c:pt idx="87">
                  <c:v>3.0842000000000001</c:v>
                </c:pt>
                <c:pt idx="88">
                  <c:v>3.0842000000000001</c:v>
                </c:pt>
                <c:pt idx="89">
                  <c:v>3.0842000000000001</c:v>
                </c:pt>
                <c:pt idx="90">
                  <c:v>3.0842000000000001</c:v>
                </c:pt>
                <c:pt idx="91">
                  <c:v>3.0842000000000001</c:v>
                </c:pt>
                <c:pt idx="92">
                  <c:v>3.0842000000000001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02-4DC7-9822-2B311CF13F6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ThreeParticleAngleWall0C1!$J$2:$J$94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6.2831000000000001</c:v>
                </c:pt>
                <c:pt idx="14">
                  <c:v>6.2827000000000002</c:v>
                </c:pt>
                <c:pt idx="15">
                  <c:v>6.2817999999999996</c:v>
                </c:pt>
                <c:pt idx="16">
                  <c:v>6.2801</c:v>
                </c:pt>
                <c:pt idx="17">
                  <c:v>6.2760999999999996</c:v>
                </c:pt>
                <c:pt idx="18">
                  <c:v>6.2721</c:v>
                </c:pt>
                <c:pt idx="19">
                  <c:v>6.2674000000000003</c:v>
                </c:pt>
                <c:pt idx="20">
                  <c:v>6.2619999999999996</c:v>
                </c:pt>
                <c:pt idx="21">
                  <c:v>6.2557999999999998</c:v>
                </c:pt>
                <c:pt idx="22">
                  <c:v>6.2488999999999999</c:v>
                </c:pt>
                <c:pt idx="23">
                  <c:v>6.2411000000000003</c:v>
                </c:pt>
                <c:pt idx="24">
                  <c:v>6.2321999999999997</c:v>
                </c:pt>
                <c:pt idx="25">
                  <c:v>6.2222</c:v>
                </c:pt>
                <c:pt idx="26">
                  <c:v>6.2108999999999996</c:v>
                </c:pt>
                <c:pt idx="27">
                  <c:v>6.1980000000000004</c:v>
                </c:pt>
                <c:pt idx="28">
                  <c:v>6.1832000000000003</c:v>
                </c:pt>
                <c:pt idx="29">
                  <c:v>6.1661000000000001</c:v>
                </c:pt>
                <c:pt idx="30">
                  <c:v>6.1463000000000001</c:v>
                </c:pt>
                <c:pt idx="31">
                  <c:v>6.1230000000000002</c:v>
                </c:pt>
                <c:pt idx="32">
                  <c:v>6.0953999999999997</c:v>
                </c:pt>
                <c:pt idx="33">
                  <c:v>6.0622999999999996</c:v>
                </c:pt>
                <c:pt idx="34">
                  <c:v>6.0220000000000002</c:v>
                </c:pt>
                <c:pt idx="35">
                  <c:v>5.9722</c:v>
                </c:pt>
                <c:pt idx="36">
                  <c:v>5.9092000000000002</c:v>
                </c:pt>
                <c:pt idx="37">
                  <c:v>5.8277000000000001</c:v>
                </c:pt>
                <c:pt idx="38">
                  <c:v>5.7199</c:v>
                </c:pt>
                <c:pt idx="39">
                  <c:v>5.5739999999999998</c:v>
                </c:pt>
                <c:pt idx="40">
                  <c:v>5.3754999999999997</c:v>
                </c:pt>
                <c:pt idx="41">
                  <c:v>5.1136999999999997</c:v>
                </c:pt>
                <c:pt idx="42">
                  <c:v>4.8022999999999998</c:v>
                </c:pt>
                <c:pt idx="43">
                  <c:v>4.4898999999999996</c:v>
                </c:pt>
                <c:pt idx="44">
                  <c:v>4.2256</c:v>
                </c:pt>
                <c:pt idx="45">
                  <c:v>4.0239000000000003</c:v>
                </c:pt>
                <c:pt idx="46">
                  <c:v>3.8744000000000001</c:v>
                </c:pt>
                <c:pt idx="47">
                  <c:v>3.7625999999999999</c:v>
                </c:pt>
                <c:pt idx="48">
                  <c:v>3.6766000000000001</c:v>
                </c:pt>
                <c:pt idx="49">
                  <c:v>3.6086</c:v>
                </c:pt>
                <c:pt idx="50">
                  <c:v>3.5531000000000001</c:v>
                </c:pt>
                <c:pt idx="51">
                  <c:v>3.5068000000000001</c:v>
                </c:pt>
                <c:pt idx="52">
                  <c:v>3.4672000000000001</c:v>
                </c:pt>
                <c:pt idx="53">
                  <c:v>3.4325999999999999</c:v>
                </c:pt>
                <c:pt idx="54">
                  <c:v>3.4020000000000001</c:v>
                </c:pt>
                <c:pt idx="55">
                  <c:v>3.3744999999999998</c:v>
                </c:pt>
                <c:pt idx="56">
                  <c:v>3.3494000000000002</c:v>
                </c:pt>
                <c:pt idx="57">
                  <c:v>3.3264</c:v>
                </c:pt>
                <c:pt idx="58">
                  <c:v>3.3050999999999999</c:v>
                </c:pt>
                <c:pt idx="59">
                  <c:v>3.2852000000000001</c:v>
                </c:pt>
                <c:pt idx="60">
                  <c:v>3.2665000000000002</c:v>
                </c:pt>
                <c:pt idx="61">
                  <c:v>3.2490000000000001</c:v>
                </c:pt>
                <c:pt idx="62">
                  <c:v>3.2324999999999999</c:v>
                </c:pt>
                <c:pt idx="63">
                  <c:v>3.2168000000000001</c:v>
                </c:pt>
                <c:pt idx="64">
                  <c:v>3.202</c:v>
                </c:pt>
                <c:pt idx="65">
                  <c:v>3.1880000000000002</c:v>
                </c:pt>
                <c:pt idx="66">
                  <c:v>3.1747999999999998</c:v>
                </c:pt>
                <c:pt idx="67">
                  <c:v>3.1621999999999999</c:v>
                </c:pt>
                <c:pt idx="68">
                  <c:v>3.1503999999999999</c:v>
                </c:pt>
                <c:pt idx="69">
                  <c:v>3.1393</c:v>
                </c:pt>
                <c:pt idx="70">
                  <c:v>3.129</c:v>
                </c:pt>
                <c:pt idx="71">
                  <c:v>3.1194000000000002</c:v>
                </c:pt>
                <c:pt idx="72">
                  <c:v>3.1105</c:v>
                </c:pt>
                <c:pt idx="73">
                  <c:v>3.1025</c:v>
                </c:pt>
                <c:pt idx="74">
                  <c:v>3.0954000000000002</c:v>
                </c:pt>
                <c:pt idx="75">
                  <c:v>3.0891999999999999</c:v>
                </c:pt>
                <c:pt idx="76">
                  <c:v>3.0872000000000002</c:v>
                </c:pt>
                <c:pt idx="77">
                  <c:v>3.0857000000000001</c:v>
                </c:pt>
                <c:pt idx="78">
                  <c:v>3.0848</c:v>
                </c:pt>
                <c:pt idx="79">
                  <c:v>3.0842999999999998</c:v>
                </c:pt>
                <c:pt idx="80">
                  <c:v>3.0842000000000001</c:v>
                </c:pt>
                <c:pt idx="81">
                  <c:v>3.0842000000000001</c:v>
                </c:pt>
                <c:pt idx="82">
                  <c:v>3.0842000000000001</c:v>
                </c:pt>
                <c:pt idx="83">
                  <c:v>3.0842000000000001</c:v>
                </c:pt>
                <c:pt idx="84">
                  <c:v>3.0842000000000001</c:v>
                </c:pt>
                <c:pt idx="85">
                  <c:v>3.0842000000000001</c:v>
                </c:pt>
                <c:pt idx="86">
                  <c:v>3.0842000000000001</c:v>
                </c:pt>
                <c:pt idx="87">
                  <c:v>3.0842000000000001</c:v>
                </c:pt>
                <c:pt idx="88">
                  <c:v>3.0842000000000001</c:v>
                </c:pt>
                <c:pt idx="89">
                  <c:v>3.0842000000000001</c:v>
                </c:pt>
                <c:pt idx="90">
                  <c:v>3.0842000000000001</c:v>
                </c:pt>
                <c:pt idx="91">
                  <c:v>3.0842000000000001</c:v>
                </c:pt>
                <c:pt idx="92">
                  <c:v>3.0842000000000001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02-4DC7-9822-2B311CF13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566720"/>
        <c:axId val="1553563840"/>
      </c:scatterChart>
      <c:valAx>
        <c:axId val="155356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63840"/>
        <c:crosses val="autoZero"/>
        <c:crossBetween val="midCat"/>
      </c:valAx>
      <c:valAx>
        <c:axId val="15535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6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104775</xdr:rowOff>
    </xdr:from>
    <xdr:to>
      <xdr:col>7</xdr:col>
      <xdr:colOff>323850</xdr:colOff>
      <xdr:row>14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10FD7-EB29-4BB9-91DA-E9A800D10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0</xdr:row>
      <xdr:rowOff>142875</xdr:rowOff>
    </xdr:from>
    <xdr:to>
      <xdr:col>15</xdr:col>
      <xdr:colOff>38100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133E98-E9B7-4786-88BB-5297BB60D0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114300</xdr:colOff>
      <xdr:row>0</xdr:row>
      <xdr:rowOff>114300</xdr:rowOff>
    </xdr:from>
    <xdr:to>
      <xdr:col>22</xdr:col>
      <xdr:colOff>419100</xdr:colOff>
      <xdr:row>15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2E0B20-DF70-4213-9B29-E6C278AA3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438150</xdr:colOff>
      <xdr:row>0</xdr:row>
      <xdr:rowOff>152400</xdr:rowOff>
    </xdr:from>
    <xdr:to>
      <xdr:col>30</xdr:col>
      <xdr:colOff>133350</xdr:colOff>
      <xdr:row>15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5372E63-D60B-41C1-9F5C-806AC2A4B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390525</xdr:colOff>
      <xdr:row>31</xdr:row>
      <xdr:rowOff>114300</xdr:rowOff>
    </xdr:from>
    <xdr:to>
      <xdr:col>23</xdr:col>
      <xdr:colOff>85725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672081-8105-4F88-9AFD-6C382FCA5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31</xdr:row>
      <xdr:rowOff>19050</xdr:rowOff>
    </xdr:from>
    <xdr:to>
      <xdr:col>7</xdr:col>
      <xdr:colOff>304800</xdr:colOff>
      <xdr:row>45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E67F26-DBE8-4463-AA18-0F346D584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361950</xdr:colOff>
      <xdr:row>31</xdr:row>
      <xdr:rowOff>19050</xdr:rowOff>
    </xdr:from>
    <xdr:to>
      <xdr:col>15</xdr:col>
      <xdr:colOff>57150</xdr:colOff>
      <xdr:row>45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DDA56E0-8BED-4E87-8666-D09948FE7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14</xdr:row>
      <xdr:rowOff>123825</xdr:rowOff>
    </xdr:from>
    <xdr:to>
      <xdr:col>7</xdr:col>
      <xdr:colOff>304800</xdr:colOff>
      <xdr:row>29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50B74BD-236F-4021-84D5-A693CF3CFF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333375</xdr:colOff>
      <xdr:row>15</xdr:row>
      <xdr:rowOff>85725</xdr:rowOff>
    </xdr:from>
    <xdr:to>
      <xdr:col>15</xdr:col>
      <xdr:colOff>28575</xdr:colOff>
      <xdr:row>29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A23AEAD-5388-45D1-A588-3ED6C2544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104775</xdr:colOff>
      <xdr:row>15</xdr:row>
      <xdr:rowOff>123825</xdr:rowOff>
    </xdr:from>
    <xdr:to>
      <xdr:col>22</xdr:col>
      <xdr:colOff>409575</xdr:colOff>
      <xdr:row>30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21589DA-6116-4147-892F-ACC04BE0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27BF94F-BFCC-4930-804A-7FB2F84986BE}" autoFormatId="16" applyNumberFormats="0" applyBorderFormats="0" applyFontFormats="0" applyPatternFormats="0" applyAlignmentFormats="0" applyWidthHeightFormats="0">
  <queryTableRefresh nextId="31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24" name="ang_acc" tableColumnId="23"/>
      <queryTableField id="25" name="ang_diff" tableColumnId="24"/>
      <queryTableField id="11" name="imomx" tableColumnId="11"/>
      <queryTableField id="12" name="imomy" tableColumnId="12"/>
      <queryTableField id="13" name="imom" tableColumnId="13"/>
      <queryTableField id="22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26" name="p_mom_x" tableColumnId="25"/>
      <queryTableField id="27" name="p_mom_y" tableColumnId="26"/>
      <queryTableField id="28" name="p_mom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56A1DDE-2C7E-486E-A73C-323935F94675}" autoFormatId="16" applyNumberFormats="0" applyBorderFormats="0" applyFontFormats="0" applyPatternFormats="0" applyAlignmentFormats="0" applyWidthHeightFormats="0">
  <queryTableRefresh nextId="31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24" name="ang_acc" tableColumnId="23"/>
      <queryTableField id="25" name="ang_diff" tableColumnId="24"/>
      <queryTableField id="11" name="imomx" tableColumnId="11"/>
      <queryTableField id="12" name="imomy" tableColumnId="12"/>
      <queryTableField id="13" name="imom" tableColumnId="13"/>
      <queryTableField id="22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26" name="p_mom_x" tableColumnId="25"/>
      <queryTableField id="27" name="p_mom_y" tableColumnId="26"/>
      <queryTableField id="28" name="p_mom" tableColumnId="2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29CD9D6-4523-452F-B8E4-D423ACA4CF0D}" autoFormatId="16" applyNumberFormats="0" applyBorderFormats="0" applyFontFormats="0" applyPatternFormats="0" applyAlignmentFormats="0" applyWidthHeightFormats="0">
  <queryTableRefresh nextId="31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24" name="ang_acc" tableColumnId="23"/>
      <queryTableField id="25" name="ang_diff" tableColumnId="24"/>
      <queryTableField id="11" name="imomx" tableColumnId="11"/>
      <queryTableField id="12" name="imomy" tableColumnId="12"/>
      <queryTableField id="13" name="imom" tableColumnId="13"/>
      <queryTableField id="22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26" name="p_mom_x" tableColumnId="25"/>
      <queryTableField id="27" name="p_mom_y" tableColumnId="26"/>
      <queryTableField id="28" name="p_mom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DA8F713-D76E-42A8-9E46-C2DCA80044A7}" autoFormatId="16" applyNumberFormats="0" applyBorderFormats="0" applyFontFormats="0" applyPatternFormats="0" applyAlignmentFormats="0" applyWidthHeightFormats="0">
  <queryTableRefresh nextId="31">
    <queryTableFields count="27">
      <queryTableField id="1" name="P" tableColumnId="1"/>
      <queryTableField id="2" name="t" tableColumnId="2"/>
      <queryTableField id="3" name="iter" tableColumnId="3"/>
      <queryTableField id="4" name="vx" tableColumnId="4"/>
      <queryTableField id="5" name="vy" tableColumnId="5"/>
      <queryTableField id="6" name="pen_factor" tableColumnId="6"/>
      <queryTableField id="7" name="v_mag" tableColumnId="7"/>
      <queryTableField id="8" name="vel_mag_in" tableColumnId="8"/>
      <queryTableField id="9" name="v_coll" tableColumnId="9"/>
      <queryTableField id="10" name="v_ang" tableColumnId="10"/>
      <queryTableField id="24" name="ang_acc" tableColumnId="23"/>
      <queryTableField id="25" name="ang_diff" tableColumnId="24"/>
      <queryTableField id="11" name="imomx" tableColumnId="11"/>
      <queryTableField id="12" name="imomy" tableColumnId="12"/>
      <queryTableField id="13" name="imom" tableColumnId="13"/>
      <queryTableField id="22" name="tot_area" tableColumnId="22"/>
      <queryTableField id="14" name="cur_area" tableColumnId="14"/>
      <queryTableField id="15" name="area_diff" tableColumnId="15"/>
      <queryTableField id="16" name="vx_rel" tableColumnId="16"/>
      <queryTableField id="17" name="vy_rel" tableColumnId="17"/>
      <queryTableField id="18" name="v_rel" tableColumnId="18"/>
      <queryTableField id="19" name="col_acc_x" tableColumnId="19"/>
      <queryTableField id="20" name="col_acc_y" tableColumnId="20"/>
      <queryTableField id="21" name="col_acc_mag" tableColumnId="21"/>
      <queryTableField id="26" name="p_mom_x" tableColumnId="25"/>
      <queryTableField id="27" name="p_mom_y" tableColumnId="26"/>
      <queryTableField id="28" name="p_mom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8C43E2-15D5-4CFF-8B71-97059B22B1AC}" name="ThreeParticleAngleWall0C0" displayName="ThreeParticleAngleWall0C0" ref="A1:AA94" tableType="queryTable" totalsRowShown="0">
  <autoFilter ref="A1:AA94" xr:uid="{9D8C43E2-15D5-4CFF-8B71-97059B22B1AC}"/>
  <tableColumns count="27">
    <tableColumn id="1" xr3:uid="{80406F21-CF68-482D-A5A7-33CDC6F71E11}" uniqueName="1" name="P" queryTableFieldId="1"/>
    <tableColumn id="2" xr3:uid="{9BA02E85-CBFF-4AD3-9F6F-9321A131B2C8}" uniqueName="2" name="t" queryTableFieldId="2"/>
    <tableColumn id="3" xr3:uid="{C44CC726-66CC-4BD7-B527-BD65AE54E38E}" uniqueName="3" name="iter" queryTableFieldId="3"/>
    <tableColumn id="4" xr3:uid="{56D75F08-49EE-4AC6-957A-B685590051A4}" uniqueName="4" name="vx" queryTableFieldId="4"/>
    <tableColumn id="5" xr3:uid="{7249AEED-DDB7-41AA-B9EA-77C52D9555EB}" uniqueName="5" name="vy" queryTableFieldId="5"/>
    <tableColumn id="6" xr3:uid="{AE808686-B407-4F72-962F-03CCCA6EDC0D}" uniqueName="6" name="pen_factor" queryTableFieldId="6"/>
    <tableColumn id="7" xr3:uid="{8BF50989-3FCF-49E0-8D90-3B91AAAA55D9}" uniqueName="7" name="v_mag" queryTableFieldId="7"/>
    <tableColumn id="8" xr3:uid="{4BE08D1A-8E54-44E4-878B-8051AE765E13}" uniqueName="8" name="vel_mag_in" queryTableFieldId="8"/>
    <tableColumn id="9" xr3:uid="{289DF57D-3512-4040-8D4D-8B29FCAB7C6F}" uniqueName="9" name="v_coll" queryTableFieldId="9"/>
    <tableColumn id="10" xr3:uid="{9C5F2F76-95A6-4EBF-BFC4-601E8C75E861}" uniqueName="10" name="v_ang" queryTableFieldId="10"/>
    <tableColumn id="23" xr3:uid="{86F7F6EC-20D4-470F-B72D-3EC657589D49}" uniqueName="23" name="ang_acc" queryTableFieldId="24" dataDxfId="22"/>
    <tableColumn id="24" xr3:uid="{3D44CAD4-A8F7-41AF-96D0-4935FA20DDE5}" uniqueName="24" name="ang_diff" queryTableFieldId="25" dataDxfId="21"/>
    <tableColumn id="11" xr3:uid="{A292B5B6-F36A-4B32-8409-79BB51864D6F}" uniqueName="11" name="imomx" queryTableFieldId="11"/>
    <tableColumn id="12" xr3:uid="{A4DC8D70-DB50-4EFA-A717-74BDD7CF79FF}" uniqueName="12" name="imomy" queryTableFieldId="12"/>
    <tableColumn id="13" xr3:uid="{9B1CE76C-75F4-416D-A6C8-823D5670C640}" uniqueName="13" name="imom" queryTableFieldId="13"/>
    <tableColumn id="22" xr3:uid="{98959499-C9EF-47EC-BF9D-E749A09D3A8E}" uniqueName="22" name="tot_area" queryTableFieldId="22" dataDxfId="20"/>
    <tableColumn id="14" xr3:uid="{37C19895-52C1-4470-85A2-4E7986CE1535}" uniqueName="14" name="cur_area" queryTableFieldId="14"/>
    <tableColumn id="15" xr3:uid="{0BCBF931-ECED-4ED9-8482-5D221C6D2E7D}" uniqueName="15" name="area_diff" queryTableFieldId="15"/>
    <tableColumn id="16" xr3:uid="{469DDC2D-0BC4-4747-8058-88230B53C1CE}" uniqueName="16" name="vx_rel" queryTableFieldId="16"/>
    <tableColumn id="17" xr3:uid="{314335D5-86CE-4D64-B251-40E0EA704EF0}" uniqueName="17" name="vy_rel" queryTableFieldId="17"/>
    <tableColumn id="18" xr3:uid="{78234735-4BEF-425E-8A33-85DE6EF1C181}" uniqueName="18" name="v_rel" queryTableFieldId="18"/>
    <tableColumn id="19" xr3:uid="{D15522EE-9AF6-460F-972A-DBC87ED19093}" uniqueName="19" name="col_acc_x" queryTableFieldId="19"/>
    <tableColumn id="20" xr3:uid="{8DC9A698-207B-4292-96CF-9BBF1D8D437E}" uniqueName="20" name="col_acc_y" queryTableFieldId="20"/>
    <tableColumn id="21" xr3:uid="{6AA5D6D1-BDFD-431B-9DAA-1F14E5316F82}" uniqueName="21" name="col_acc_mag" queryTableFieldId="21"/>
    <tableColumn id="25" xr3:uid="{CBCF55F8-C20E-4A2B-B719-626F1871A60B}" uniqueName="25" name="p_mom_x" queryTableFieldId="26" dataDxfId="19"/>
    <tableColumn id="26" xr3:uid="{28746AEE-C734-470D-8CE8-212BAE4391EF}" uniqueName="26" name="p_mom_y" queryTableFieldId="27" dataDxfId="18"/>
    <tableColumn id="27" xr3:uid="{81E46B94-1992-439A-A45E-D9962C0D33F2}" uniqueName="27" name="p_mom" queryTableFieldId="28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9A6E5C-690A-4C6D-9B54-276011920A7E}" name="ThreeParticleAngleWall0C1" displayName="ThreeParticleAngleWall0C1" ref="A1:AA94" tableType="queryTable" totalsRowShown="0">
  <autoFilter ref="A1:AA94" xr:uid="{529A6E5C-690A-4C6D-9B54-276011920A7E}"/>
  <tableColumns count="27">
    <tableColumn id="1" xr3:uid="{E89C0D33-32D2-4EAF-AFF4-CE2A6E94BC58}" uniqueName="1" name="P" queryTableFieldId="1"/>
    <tableColumn id="2" xr3:uid="{94343F03-6BB3-4EDF-8094-CA272E9F30B7}" uniqueName="2" name="t" queryTableFieldId="2"/>
    <tableColumn id="3" xr3:uid="{EF134A99-A422-4B5D-87FD-42C48AEC30CF}" uniqueName="3" name="iter" queryTableFieldId="3"/>
    <tableColumn id="4" xr3:uid="{E73DB673-C28D-433A-A2F8-AAEC95A575BF}" uniqueName="4" name="vx" queryTableFieldId="4"/>
    <tableColumn id="5" xr3:uid="{FE5BE073-CE93-4342-951C-8E68BF9D5E61}" uniqueName="5" name="vy" queryTableFieldId="5"/>
    <tableColumn id="6" xr3:uid="{C660BC32-8B92-44CA-9B56-D0A4AFAC33BF}" uniqueName="6" name="pen_factor" queryTableFieldId="6"/>
    <tableColumn id="7" xr3:uid="{48432640-E35E-4C3B-A6FA-31229D876265}" uniqueName="7" name="v_mag" queryTableFieldId="7"/>
    <tableColumn id="8" xr3:uid="{40A19500-B388-48D5-9825-041EB6128795}" uniqueName="8" name="vel_mag_in" queryTableFieldId="8"/>
    <tableColumn id="9" xr3:uid="{7756DB27-4D05-4A01-9BCF-80DBD001B8CB}" uniqueName="9" name="v_coll" queryTableFieldId="9"/>
    <tableColumn id="10" xr3:uid="{F4D0B331-35F1-4E83-8557-C9FB79C94035}" uniqueName="10" name="v_ang" queryTableFieldId="10"/>
    <tableColumn id="23" xr3:uid="{9035CBAE-EA56-419F-A9DA-9A969F19D353}" uniqueName="23" name="ang_acc" queryTableFieldId="24" dataDxfId="16"/>
    <tableColumn id="24" xr3:uid="{218703A0-CF92-4500-AB5D-9B97F13482EE}" uniqueName="24" name="ang_diff" queryTableFieldId="25" dataDxfId="15"/>
    <tableColumn id="11" xr3:uid="{2407498E-3475-46C6-8AD0-539A1DC2E98C}" uniqueName="11" name="imomx" queryTableFieldId="11"/>
    <tableColumn id="12" xr3:uid="{DE5D871F-791F-463D-BB2E-6E751581EB5E}" uniqueName="12" name="imomy" queryTableFieldId="12"/>
    <tableColumn id="13" xr3:uid="{4DCC5A91-9A98-4679-8997-2D8157ACC62C}" uniqueName="13" name="imom" queryTableFieldId="13"/>
    <tableColumn id="22" xr3:uid="{5779E6E5-00D7-4C59-B221-DB89CC060164}" uniqueName="22" name="tot_area" queryTableFieldId="22"/>
    <tableColumn id="14" xr3:uid="{C510896B-A81A-4797-B217-2729DA79B2CB}" uniqueName="14" name="cur_area" queryTableFieldId="14"/>
    <tableColumn id="15" xr3:uid="{CA2BA0C5-F2BA-4C74-90C5-4EF42B049CAA}" uniqueName="15" name="area_diff" queryTableFieldId="15"/>
    <tableColumn id="16" xr3:uid="{8C9AEE1A-EA51-40B5-A65D-DFFB0056EA8F}" uniqueName="16" name="vx_rel" queryTableFieldId="16"/>
    <tableColumn id="17" xr3:uid="{030D8C4B-939E-40CF-B7C8-38390D0A39FF}" uniqueName="17" name="vy_rel" queryTableFieldId="17"/>
    <tableColumn id="18" xr3:uid="{2537F053-E0DB-41CC-9BDF-494499E768DD}" uniqueName="18" name="v_rel" queryTableFieldId="18"/>
    <tableColumn id="19" xr3:uid="{ECE49946-3B50-4C19-95E3-8887650A2927}" uniqueName="19" name="col_acc_x" queryTableFieldId="19"/>
    <tableColumn id="20" xr3:uid="{A56079C9-F462-404B-80CE-5857A917842B}" uniqueName="20" name="col_acc_y" queryTableFieldId="20"/>
    <tableColumn id="21" xr3:uid="{CD351AB1-C614-405F-90FD-48503067CA70}" uniqueName="21" name="col_acc_mag" queryTableFieldId="21"/>
    <tableColumn id="25" xr3:uid="{FEBDF38C-99F3-4079-BCD1-89DCD9735453}" uniqueName="25" name="p_mom_x" queryTableFieldId="26" dataDxfId="14"/>
    <tableColumn id="26" xr3:uid="{EA3037C4-471D-4760-96C7-430988D9E237}" uniqueName="26" name="p_mom_y" queryTableFieldId="27" dataDxfId="13"/>
    <tableColumn id="27" xr3:uid="{7C088DA7-D5B7-4E3B-9ED4-0F0B4DBE2D0B}" uniqueName="27" name="p_mom" queryTableFieldId="28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D94BAA-FC18-44D0-8200-B3F55A336CF3}" name="ThreeParticleAngleWall1C0" displayName="ThreeParticleAngleWall1C0" ref="A1:AA94" tableType="queryTable" totalsRowShown="0">
  <autoFilter ref="A1:AA94" xr:uid="{A1D94BAA-FC18-44D0-8200-B3F55A336CF3}"/>
  <tableColumns count="27">
    <tableColumn id="1" xr3:uid="{05BADD78-EC57-4034-8424-71D456B338AA}" uniqueName="1" name="P" queryTableFieldId="1"/>
    <tableColumn id="2" xr3:uid="{7742D1B0-19BA-4235-9CD3-7AA02B1DC2F8}" uniqueName="2" name="t" queryTableFieldId="2"/>
    <tableColumn id="3" xr3:uid="{B91025C3-65FD-43FD-8A84-59C0F75CD4F3}" uniqueName="3" name="iter" queryTableFieldId="3"/>
    <tableColumn id="4" xr3:uid="{06F0A674-D520-40B1-8846-5C84ACD4FCB1}" uniqueName="4" name="vx" queryTableFieldId="4"/>
    <tableColumn id="5" xr3:uid="{72EB72CB-CF02-4823-9065-B670CDB6A17D}" uniqueName="5" name="vy" queryTableFieldId="5"/>
    <tableColumn id="6" xr3:uid="{C7335C5E-40B8-4177-911F-65FD87691E13}" uniqueName="6" name="pen_factor" queryTableFieldId="6"/>
    <tableColumn id="7" xr3:uid="{73DC86EA-6A23-4C55-A4E9-4B817B1E4B9A}" uniqueName="7" name="v_mag" queryTableFieldId="7"/>
    <tableColumn id="8" xr3:uid="{81C2A83A-BF2C-4794-9824-15A81751E57D}" uniqueName="8" name="vel_mag_in" queryTableFieldId="8"/>
    <tableColumn id="9" xr3:uid="{78D19F79-4B88-4D9E-9816-53E1AE182AFE}" uniqueName="9" name="v_coll" queryTableFieldId="9"/>
    <tableColumn id="10" xr3:uid="{0DD31178-BC0B-489D-B367-8DBB431C0242}" uniqueName="10" name="v_ang" queryTableFieldId="10"/>
    <tableColumn id="23" xr3:uid="{CBF9CEF1-61BE-4518-A5F5-216DD13B4A04}" uniqueName="23" name="ang_acc" queryTableFieldId="24" dataDxfId="11"/>
    <tableColumn id="24" xr3:uid="{CBA2878F-0435-467D-B49F-B41A5E41F476}" uniqueName="24" name="ang_diff" queryTableFieldId="25" dataDxfId="10"/>
    <tableColumn id="11" xr3:uid="{696B74D7-0C07-4851-9E8A-17B687FBA77D}" uniqueName="11" name="imomx" queryTableFieldId="11"/>
    <tableColumn id="12" xr3:uid="{9733BB6D-D654-4B42-BDA9-2B6025B52137}" uniqueName="12" name="imomy" queryTableFieldId="12"/>
    <tableColumn id="13" xr3:uid="{C4B2467F-4456-4FB3-9627-410D24E53B5E}" uniqueName="13" name="imom" queryTableFieldId="13"/>
    <tableColumn id="22" xr3:uid="{A6735224-C104-4143-96B9-0D4C8F2FED04}" uniqueName="22" name="tot_area" queryTableFieldId="22"/>
    <tableColumn id="14" xr3:uid="{B0E9A2E5-7A0F-4CD4-A7EC-06640D459444}" uniqueName="14" name="cur_area" queryTableFieldId="14"/>
    <tableColumn id="15" xr3:uid="{DFC4C836-9F82-488B-9095-7F3F027E4291}" uniqueName="15" name="area_diff" queryTableFieldId="15"/>
    <tableColumn id="16" xr3:uid="{1A9A32C9-76FE-400D-90F6-92D3C8CA223E}" uniqueName="16" name="vx_rel" queryTableFieldId="16"/>
    <tableColumn id="17" xr3:uid="{C2122562-4C3E-48B6-B79C-F103933D0903}" uniqueName="17" name="vy_rel" queryTableFieldId="17"/>
    <tableColumn id="18" xr3:uid="{7F9A22E1-DB77-4104-907E-C87CD7C7D6CE}" uniqueName="18" name="v_rel" queryTableFieldId="18"/>
    <tableColumn id="19" xr3:uid="{D120A0A7-75E0-4756-A86F-720DB6219501}" uniqueName="19" name="col_acc_x" queryTableFieldId="19"/>
    <tableColumn id="20" xr3:uid="{0F29180A-682C-4A83-A385-0952449B2ED0}" uniqueName="20" name="col_acc_y" queryTableFieldId="20" dataDxfId="9"/>
    <tableColumn id="21" xr3:uid="{C65A3FFE-C2F3-4219-8EBA-C5F5D5F29261}" uniqueName="21" name="col_acc_mag" queryTableFieldId="21" dataDxfId="8"/>
    <tableColumn id="25" xr3:uid="{FC2CF80F-CA65-4776-87C8-612EAEE96276}" uniqueName="25" name="p_mom_x" queryTableFieldId="26" dataDxfId="7"/>
    <tableColumn id="26" xr3:uid="{53B2F026-F7FF-4839-A4FC-B116245478EC}" uniqueName="26" name="p_mom_y" queryTableFieldId="27" dataDxfId="6"/>
    <tableColumn id="27" xr3:uid="{060A6AE9-F133-40CC-B62D-94BDD428D54F}" uniqueName="27" name="p_mom" queryTableFieldId="28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6D54C2-B9E9-4042-8315-C8C0AEC98ED2}" name="ThreeParticleAngleWall2C0" displayName="ThreeParticleAngleWall2C0" ref="A1:AA94" tableType="queryTable" totalsRowShown="0">
  <autoFilter ref="A1:AA94" xr:uid="{EA6D54C2-B9E9-4042-8315-C8C0AEC98ED2}"/>
  <tableColumns count="27">
    <tableColumn id="1" xr3:uid="{79DF675B-DE47-4B46-B840-600700240043}" uniqueName="1" name="P" queryTableFieldId="1"/>
    <tableColumn id="2" xr3:uid="{FA9891C2-C736-4721-9A66-AE23B2262033}" uniqueName="2" name="t" queryTableFieldId="2"/>
    <tableColumn id="3" xr3:uid="{D74B5321-EE6B-4B70-B0AE-C4AB850C1A0D}" uniqueName="3" name="iter" queryTableFieldId="3"/>
    <tableColumn id="4" xr3:uid="{2BEAB246-E953-44B7-B54D-48C32002E822}" uniqueName="4" name="vx" queryTableFieldId="4"/>
    <tableColumn id="5" xr3:uid="{A8B57BAA-90CE-4268-B0D6-428650CD157E}" uniqueName="5" name="vy" queryTableFieldId="5"/>
    <tableColumn id="6" xr3:uid="{410D43B0-46F2-49C6-A373-72C88BD25130}" uniqueName="6" name="pen_factor" queryTableFieldId="6"/>
    <tableColumn id="7" xr3:uid="{3DDCCAE3-103F-4FA1-A0EE-EE94E04B84D2}" uniqueName="7" name="v_mag" queryTableFieldId="7"/>
    <tableColumn id="8" xr3:uid="{6A3F9BE4-9580-49F7-9977-448840B2B288}" uniqueName="8" name="vel_mag_in" queryTableFieldId="8"/>
    <tableColumn id="9" xr3:uid="{FEB90B21-71B3-4181-90E0-8DF0F390CC08}" uniqueName="9" name="v_coll" queryTableFieldId="9"/>
    <tableColumn id="10" xr3:uid="{28D30E93-8864-42CB-9F95-CD53471FF418}" uniqueName="10" name="v_ang" queryTableFieldId="10"/>
    <tableColumn id="23" xr3:uid="{E71EFA50-6B9E-472B-97C3-ADB708F66F43}" uniqueName="23" name="ang_acc" queryTableFieldId="24" dataDxfId="4"/>
    <tableColumn id="24" xr3:uid="{BDC04C68-84B8-4275-BCE7-FF5C92F0CE63}" uniqueName="24" name="ang_diff" queryTableFieldId="25" dataDxfId="3"/>
    <tableColumn id="11" xr3:uid="{B94CDE26-17EA-4BF7-AC3E-38A5B0E2BFD8}" uniqueName="11" name="imomx" queryTableFieldId="11"/>
    <tableColumn id="12" xr3:uid="{5D81A26C-5BFB-408F-83A4-890A756AEB81}" uniqueName="12" name="imomy" queryTableFieldId="12"/>
    <tableColumn id="13" xr3:uid="{3BC9D01A-90B6-4A68-A11D-26EA911DCB4F}" uniqueName="13" name="imom" queryTableFieldId="13"/>
    <tableColumn id="22" xr3:uid="{4E4275F1-51A0-4554-BE30-D990516BA827}" uniqueName="22" name="tot_area" queryTableFieldId="22"/>
    <tableColumn id="14" xr3:uid="{352CE48B-5BF6-424F-844B-4F4B595675E7}" uniqueName="14" name="cur_area" queryTableFieldId="14"/>
    <tableColumn id="15" xr3:uid="{4ABC6FFE-82D5-488E-9477-DB0AB0B9C2D8}" uniqueName="15" name="area_diff" queryTableFieldId="15"/>
    <tableColumn id="16" xr3:uid="{6695D796-B32A-4718-B29A-60E6B266874C}" uniqueName="16" name="vx_rel" queryTableFieldId="16"/>
    <tableColumn id="17" xr3:uid="{850E499A-16C4-4B2A-AC2F-DF25CA415C9E}" uniqueName="17" name="vy_rel" queryTableFieldId="17"/>
    <tableColumn id="18" xr3:uid="{2920B4BB-BA4B-4F8E-92BB-F2726F234E81}" uniqueName="18" name="v_rel" queryTableFieldId="18"/>
    <tableColumn id="19" xr3:uid="{D87D3026-6EBA-4F64-B54B-766C066E443D}" uniqueName="19" name="col_acc_x" queryTableFieldId="19"/>
    <tableColumn id="20" xr3:uid="{1CFF1D79-DDFF-4E6E-8378-2BD1B2AB1AEA}" uniqueName="20" name="col_acc_y" queryTableFieldId="20"/>
    <tableColumn id="21" xr3:uid="{9883A1FA-DE15-49A5-B260-82D893F8E0EA}" uniqueName="21" name="col_acc_mag" queryTableFieldId="21"/>
    <tableColumn id="25" xr3:uid="{3B5B948D-5EDD-40E6-BDB7-6A693A2CDB0A}" uniqueName="25" name="p_mom_x" queryTableFieldId="26" dataDxfId="2"/>
    <tableColumn id="26" xr3:uid="{93D49D46-9BF5-4824-B607-897201F15F72}" uniqueName="26" name="p_mom_y" queryTableFieldId="27" dataDxfId="1"/>
    <tableColumn id="27" xr3:uid="{4A0039A4-EA92-4A7D-886F-BB1EB7A47A9D}" uniqueName="27" name="p_mom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1BAA-9A7A-4B63-97FA-2F38D83F449A}">
  <dimension ref="A1"/>
  <sheetViews>
    <sheetView workbookViewId="0">
      <selection activeCell="D31" sqref="D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FC50-CD0A-44E8-A11A-5579EA7E8523}">
  <dimension ref="A1:K25"/>
  <sheetViews>
    <sheetView tabSelected="1" zoomScale="130" zoomScaleNormal="130" workbookViewId="0">
      <selection activeCell="G16" sqref="G16"/>
    </sheetView>
  </sheetViews>
  <sheetFormatPr defaultRowHeight="15" x14ac:dyDescent="0.25"/>
  <cols>
    <col min="1" max="1" width="25" customWidth="1"/>
    <col min="2" max="2" width="14" customWidth="1"/>
    <col min="3" max="3" width="13.42578125" customWidth="1"/>
    <col min="4" max="4" width="13.5703125" customWidth="1"/>
    <col min="5" max="5" width="14.85546875" customWidth="1"/>
    <col min="6" max="6" width="13.7109375" customWidth="1"/>
    <col min="7" max="7" width="11.5703125" bestFit="1" customWidth="1"/>
    <col min="8" max="8" width="12.140625" bestFit="1" customWidth="1"/>
    <col min="11" max="11" width="18" customWidth="1"/>
  </cols>
  <sheetData>
    <row r="1" spans="1:11" x14ac:dyDescent="0.25">
      <c r="A1" s="3" t="s">
        <v>24</v>
      </c>
      <c r="B1" s="3" t="s">
        <v>19</v>
      </c>
      <c r="C1" s="3" t="s">
        <v>20</v>
      </c>
      <c r="D1" s="3" t="s">
        <v>21</v>
      </c>
      <c r="E1" s="3" t="s">
        <v>22</v>
      </c>
      <c r="F1" s="3" t="s">
        <v>23</v>
      </c>
      <c r="G1" s="11" t="s">
        <v>1023</v>
      </c>
      <c r="I1" t="s">
        <v>33</v>
      </c>
      <c r="J1" t="s">
        <v>34</v>
      </c>
      <c r="K1" t="s">
        <v>35</v>
      </c>
    </row>
    <row r="2" spans="1:11" x14ac:dyDescent="0.25">
      <c r="A2" s="3" t="s">
        <v>31</v>
      </c>
      <c r="B2" s="4">
        <f>1</f>
        <v>1</v>
      </c>
      <c r="C2" s="4"/>
      <c r="D2" s="4"/>
      <c r="E2" s="4">
        <f>ThreeParticleAngleWall2C0!G18</f>
        <v>1</v>
      </c>
      <c r="F2" s="4">
        <f>SUM(C2:E2)</f>
        <v>1</v>
      </c>
      <c r="G2" s="2"/>
      <c r="I2">
        <v>0.25</v>
      </c>
      <c r="J2">
        <f>PI()*I2^2</f>
        <v>0.19634954084936207</v>
      </c>
    </row>
    <row r="3" spans="1:11" x14ac:dyDescent="0.25">
      <c r="A3" s="3" t="s">
        <v>32</v>
      </c>
      <c r="B3" s="4">
        <f>ThreeParticleAngleWall0C0!G82</f>
        <v>0.91694388000000004</v>
      </c>
      <c r="C3" s="4"/>
      <c r="D3" s="4"/>
      <c r="E3" s="4">
        <f>ThreeParticleAngleWall2C0!G94</f>
        <v>1.0722436500000001</v>
      </c>
      <c r="F3" s="4">
        <f>SUM(C3:E3)</f>
        <v>1.0722436500000001</v>
      </c>
      <c r="G3" s="2">
        <v>2.98662597</v>
      </c>
      <c r="H3" s="2">
        <f>G3-F3</f>
        <v>1.9143823199999999</v>
      </c>
    </row>
    <row r="4" spans="1:11" x14ac:dyDescent="0.25">
      <c r="A4" s="9" t="s">
        <v>28</v>
      </c>
      <c r="B4" s="10">
        <f>B2-B3</f>
        <v>8.3056119999999956E-2</v>
      </c>
      <c r="C4" s="10"/>
      <c r="D4" s="10"/>
      <c r="E4" s="10">
        <f t="shared" ref="C4:E4" si="0">E2-E3</f>
        <v>-7.2243650000000104E-2</v>
      </c>
      <c r="F4" s="10">
        <f>SUM(B4:E4)</f>
        <v>1.0812469999999852E-2</v>
      </c>
      <c r="G4" s="2"/>
    </row>
    <row r="5" spans="1:11" x14ac:dyDescent="0.25">
      <c r="A5" s="3" t="s">
        <v>30</v>
      </c>
      <c r="B5" s="4">
        <f>ThreeParticleAngleWall0C0!O15</f>
        <v>7.6650000000000006E-5</v>
      </c>
      <c r="C5" s="4"/>
      <c r="D5" s="4"/>
      <c r="E5" s="4">
        <f>ThreeParticleAngleWall2C0!U53</f>
        <v>1.99500905</v>
      </c>
      <c r="F5" s="4">
        <f>SUM(B5:E5)</f>
        <v>1.9950857</v>
      </c>
      <c r="G5" s="2"/>
    </row>
    <row r="6" spans="1:11" x14ac:dyDescent="0.25">
      <c r="A6" s="3" t="s">
        <v>29</v>
      </c>
      <c r="B6" s="4">
        <f>ThreeParticleAngleWall0C0!O82</f>
        <v>8.3056119999999997E-2</v>
      </c>
      <c r="C6" s="4"/>
      <c r="D6" s="4"/>
      <c r="E6" s="4">
        <f>ThreeParticleAngleWall2C0!O53</f>
        <v>0.17366245</v>
      </c>
      <c r="F6" s="4">
        <f>SUM(B6:E6)</f>
        <v>0.25671856999999998</v>
      </c>
      <c r="G6" s="2"/>
    </row>
    <row r="7" spans="1:11" x14ac:dyDescent="0.25">
      <c r="A7" s="6" t="s">
        <v>27</v>
      </c>
      <c r="B7" s="7">
        <f>B6-B5</f>
        <v>8.297947E-2</v>
      </c>
      <c r="C7" s="7">
        <f>C6-C5</f>
        <v>0</v>
      </c>
      <c r="D7" s="7">
        <f>(D6-D5)</f>
        <v>0</v>
      </c>
      <c r="E7" s="7">
        <f>-(E6-E5)</f>
        <v>1.8213466</v>
      </c>
      <c r="F7" s="7">
        <f>SUM(B7:E7)</f>
        <v>1.90432607</v>
      </c>
      <c r="G7" s="2"/>
    </row>
    <row r="8" spans="1:11" x14ac:dyDescent="0.25">
      <c r="A8" s="3"/>
      <c r="B8" s="4"/>
      <c r="C8" s="4"/>
      <c r="D8" s="4"/>
      <c r="E8" s="4"/>
      <c r="F8" s="4"/>
      <c r="G8" s="2"/>
    </row>
    <row r="9" spans="1:11" x14ac:dyDescent="0.25">
      <c r="A9" s="5"/>
      <c r="B9" s="2"/>
      <c r="C9" s="2"/>
      <c r="D9" s="2"/>
      <c r="E9" s="2"/>
      <c r="F9" s="2"/>
      <c r="G9" s="2"/>
    </row>
    <row r="10" spans="1:11" x14ac:dyDescent="0.25">
      <c r="A10" s="5"/>
      <c r="B10" s="2"/>
      <c r="C10" s="2"/>
      <c r="D10" s="2"/>
      <c r="E10" s="2"/>
      <c r="F10" s="2"/>
      <c r="G10" s="2"/>
    </row>
    <row r="11" spans="1:11" x14ac:dyDescent="0.25">
      <c r="B11" s="2"/>
      <c r="C11" s="2"/>
      <c r="D11" s="2"/>
      <c r="E11" s="2"/>
      <c r="F11" s="2"/>
      <c r="G11" s="2"/>
    </row>
    <row r="12" spans="1:11" x14ac:dyDescent="0.25">
      <c r="B12" s="2"/>
      <c r="C12" s="2"/>
      <c r="D12" s="2"/>
      <c r="E12" s="2"/>
      <c r="F12" s="2"/>
      <c r="G12" s="2"/>
    </row>
    <row r="13" spans="1:11" x14ac:dyDescent="0.25">
      <c r="B13" s="2"/>
      <c r="C13" s="2"/>
      <c r="D13" s="2"/>
      <c r="E13" s="2"/>
      <c r="F13" s="2"/>
      <c r="G13" s="2"/>
    </row>
    <row r="14" spans="1:11" x14ac:dyDescent="0.25">
      <c r="B14" s="2"/>
      <c r="C14" s="2"/>
      <c r="D14" s="2"/>
      <c r="E14" s="2"/>
      <c r="F14" s="2"/>
      <c r="G14" s="2"/>
    </row>
    <row r="15" spans="1:11" x14ac:dyDescent="0.25">
      <c r="B15" s="2"/>
      <c r="C15" s="2"/>
      <c r="D15" s="2"/>
      <c r="E15" s="2"/>
      <c r="F15" s="2"/>
      <c r="G15" s="2"/>
    </row>
    <row r="16" spans="1:11" x14ac:dyDescent="0.25">
      <c r="B16" s="2"/>
      <c r="C16" s="2"/>
      <c r="D16" s="2"/>
      <c r="E16" s="2"/>
      <c r="F16" s="2"/>
      <c r="G16" s="2"/>
    </row>
    <row r="17" spans="2:7" x14ac:dyDescent="0.25">
      <c r="B17" s="2"/>
      <c r="C17" s="2"/>
      <c r="D17" s="2"/>
      <c r="E17" s="2"/>
      <c r="F17" s="2"/>
      <c r="G17" s="2"/>
    </row>
    <row r="18" spans="2:7" x14ac:dyDescent="0.25">
      <c r="B18" s="2"/>
      <c r="C18" s="2"/>
      <c r="D18" s="2"/>
      <c r="E18" s="2"/>
      <c r="F18" s="2"/>
      <c r="G18" s="2"/>
    </row>
    <row r="19" spans="2:7" x14ac:dyDescent="0.25">
      <c r="B19" s="2"/>
      <c r="C19" s="2"/>
      <c r="D19" s="2"/>
      <c r="E19" s="2"/>
      <c r="F19" s="2"/>
      <c r="G19" s="2"/>
    </row>
    <row r="20" spans="2:7" x14ac:dyDescent="0.25">
      <c r="B20" s="2"/>
      <c r="C20" s="2"/>
      <c r="D20" s="2"/>
      <c r="E20" s="2"/>
      <c r="F20" s="2"/>
      <c r="G20" s="2"/>
    </row>
    <row r="21" spans="2:7" x14ac:dyDescent="0.25">
      <c r="B21" s="2"/>
      <c r="C21" s="2"/>
      <c r="D21" s="2"/>
      <c r="E21" s="2"/>
      <c r="F21" s="2"/>
      <c r="G21" s="2"/>
    </row>
    <row r="22" spans="2:7" x14ac:dyDescent="0.25">
      <c r="B22" s="2"/>
      <c r="C22" s="2"/>
      <c r="D22" s="2"/>
      <c r="E22" s="2"/>
      <c r="F22" s="2"/>
      <c r="G22" s="2"/>
    </row>
    <row r="23" spans="2:7" x14ac:dyDescent="0.25">
      <c r="B23" s="2"/>
      <c r="C23" s="2"/>
      <c r="D23" s="2"/>
      <c r="E23" s="2"/>
      <c r="F23" s="2"/>
      <c r="G23" s="2"/>
    </row>
    <row r="24" spans="2:7" x14ac:dyDescent="0.25">
      <c r="B24" s="2"/>
      <c r="C24" s="2"/>
      <c r="D24" s="2"/>
      <c r="E24" s="2"/>
      <c r="F24" s="2"/>
      <c r="G24" s="2"/>
    </row>
    <row r="25" spans="2:7" x14ac:dyDescent="0.25">
      <c r="B25" s="2"/>
      <c r="C25" s="2"/>
      <c r="D25" s="2"/>
      <c r="E25" s="2"/>
      <c r="F25" s="2"/>
      <c r="G2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3CAA-104C-4C90-BC02-15000275D706}">
  <dimension ref="A1:AA94"/>
  <sheetViews>
    <sheetView topLeftCell="A13" workbookViewId="0">
      <selection activeCell="K78" sqref="K78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5" width="7.7109375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5703125" bestFit="1" customWidth="1"/>
    <col min="12" max="12" width="11.28515625" bestFit="1" customWidth="1"/>
    <col min="13" max="14" width="9.42578125" bestFit="1" customWidth="1"/>
    <col min="15" max="15" width="11" bestFit="1" customWidth="1"/>
    <col min="16" max="16" width="11.7109375" bestFit="1" customWidth="1"/>
    <col min="17" max="17" width="11" bestFit="1" customWidth="1"/>
    <col min="18" max="18" width="11.7109375" bestFit="1" customWidth="1"/>
    <col min="19" max="20" width="8.5703125" bestFit="1" customWidth="1"/>
    <col min="21" max="21" width="7.5703125" bestFit="1" customWidth="1"/>
    <col min="22" max="23" width="11.7109375" bestFit="1" customWidth="1"/>
    <col min="24" max="24" width="14.42578125" customWidth="1"/>
    <col min="25" max="26" width="11.7109375" bestFit="1" customWidth="1"/>
    <col min="27" max="27" width="10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</v>
      </c>
      <c r="J1" t="s">
        <v>18</v>
      </c>
      <c r="K1" t="s">
        <v>37</v>
      </c>
      <c r="L1" t="s">
        <v>38</v>
      </c>
      <c r="M1" t="s">
        <v>9</v>
      </c>
      <c r="N1" t="s">
        <v>10</v>
      </c>
      <c r="O1" t="s">
        <v>8</v>
      </c>
      <c r="P1" t="s">
        <v>36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25</v>
      </c>
      <c r="Y1" t="s">
        <v>39</v>
      </c>
      <c r="Z1" t="s">
        <v>40</v>
      </c>
      <c r="AA1" t="s">
        <v>41</v>
      </c>
    </row>
    <row r="2" spans="1:27" x14ac:dyDescent="0.25">
      <c r="A2">
        <v>0</v>
      </c>
      <c r="B2">
        <v>5.0000000000000001E-3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8" t="s">
        <v>42</v>
      </c>
      <c r="L2" s="8" t="s">
        <v>42</v>
      </c>
      <c r="M2">
        <v>0</v>
      </c>
      <c r="N2">
        <v>0</v>
      </c>
      <c r="O2">
        <v>0</v>
      </c>
      <c r="P2" s="8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8" t="s">
        <v>42</v>
      </c>
      <c r="Z2" s="8" t="s">
        <v>42</v>
      </c>
      <c r="AA2" s="8" t="s">
        <v>42</v>
      </c>
    </row>
    <row r="3" spans="1:27" x14ac:dyDescent="0.25">
      <c r="A3">
        <v>0</v>
      </c>
      <c r="B3">
        <v>0.01</v>
      </c>
      <c r="C3">
        <v>2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 s="8" t="s">
        <v>42</v>
      </c>
      <c r="L3" s="8" t="s">
        <v>42</v>
      </c>
      <c r="M3">
        <v>0</v>
      </c>
      <c r="N3">
        <v>0</v>
      </c>
      <c r="O3">
        <v>0</v>
      </c>
      <c r="P3" s="8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8" t="s">
        <v>42</v>
      </c>
      <c r="Z3" s="8" t="s">
        <v>42</v>
      </c>
      <c r="AA3" s="8" t="s">
        <v>42</v>
      </c>
    </row>
    <row r="4" spans="1:27" x14ac:dyDescent="0.25">
      <c r="A4">
        <v>0</v>
      </c>
      <c r="B4">
        <v>1.4999999999999999E-2</v>
      </c>
      <c r="C4">
        <v>3</v>
      </c>
      <c r="D4">
        <v>1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 s="8" t="s">
        <v>42</v>
      </c>
      <c r="L4" s="8" t="s">
        <v>42</v>
      </c>
      <c r="M4">
        <v>0</v>
      </c>
      <c r="N4">
        <v>0</v>
      </c>
      <c r="O4">
        <v>0</v>
      </c>
      <c r="P4" s="8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8" t="s">
        <v>42</v>
      </c>
      <c r="Z4" s="8" t="s">
        <v>42</v>
      </c>
      <c r="AA4" s="8" t="s">
        <v>42</v>
      </c>
    </row>
    <row r="5" spans="1:27" x14ac:dyDescent="0.25">
      <c r="A5">
        <v>0</v>
      </c>
      <c r="B5">
        <v>0.02</v>
      </c>
      <c r="C5">
        <v>4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 s="8" t="s">
        <v>42</v>
      </c>
      <c r="L5" s="8" t="s">
        <v>42</v>
      </c>
      <c r="M5">
        <v>0</v>
      </c>
      <c r="N5">
        <v>0</v>
      </c>
      <c r="O5">
        <v>0</v>
      </c>
      <c r="P5" s="8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8" t="s">
        <v>42</v>
      </c>
      <c r="Z5" s="8" t="s">
        <v>42</v>
      </c>
      <c r="AA5" s="8" t="s">
        <v>42</v>
      </c>
    </row>
    <row r="6" spans="1:27" x14ac:dyDescent="0.25">
      <c r="A6">
        <v>0</v>
      </c>
      <c r="B6">
        <v>2.5000000000000001E-2</v>
      </c>
      <c r="C6">
        <v>5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 s="8" t="s">
        <v>42</v>
      </c>
      <c r="L6" s="8" t="s">
        <v>42</v>
      </c>
      <c r="M6">
        <v>0</v>
      </c>
      <c r="N6">
        <v>0</v>
      </c>
      <c r="O6">
        <v>0</v>
      </c>
      <c r="P6" s="8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8" t="s">
        <v>42</v>
      </c>
      <c r="Z6" s="8" t="s">
        <v>42</v>
      </c>
      <c r="AA6" s="8" t="s">
        <v>42</v>
      </c>
    </row>
    <row r="7" spans="1:27" x14ac:dyDescent="0.25">
      <c r="A7">
        <v>0</v>
      </c>
      <c r="B7">
        <v>0.03</v>
      </c>
      <c r="C7">
        <v>6</v>
      </c>
      <c r="D7">
        <v>1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 s="8" t="s">
        <v>42</v>
      </c>
      <c r="L7" s="8" t="s">
        <v>42</v>
      </c>
      <c r="M7">
        <v>0</v>
      </c>
      <c r="N7">
        <v>0</v>
      </c>
      <c r="O7">
        <v>0</v>
      </c>
      <c r="P7" s="8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8" t="s">
        <v>42</v>
      </c>
      <c r="Z7" s="8" t="s">
        <v>42</v>
      </c>
      <c r="AA7" s="8" t="s">
        <v>42</v>
      </c>
    </row>
    <row r="8" spans="1:27" x14ac:dyDescent="0.25">
      <c r="A8">
        <v>0</v>
      </c>
      <c r="B8">
        <v>3.5000000000000003E-2</v>
      </c>
      <c r="C8">
        <v>7</v>
      </c>
      <c r="D8">
        <v>1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 s="8" t="s">
        <v>42</v>
      </c>
      <c r="L8" s="8" t="s">
        <v>42</v>
      </c>
      <c r="M8">
        <v>0</v>
      </c>
      <c r="N8">
        <v>0</v>
      </c>
      <c r="O8">
        <v>0</v>
      </c>
      <c r="P8" s="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8" t="s">
        <v>42</v>
      </c>
      <c r="Z8" s="8" t="s">
        <v>42</v>
      </c>
      <c r="AA8" s="8" t="s">
        <v>42</v>
      </c>
    </row>
    <row r="9" spans="1:27" x14ac:dyDescent="0.25">
      <c r="A9">
        <v>0</v>
      </c>
      <c r="B9">
        <v>0.04</v>
      </c>
      <c r="C9">
        <v>8</v>
      </c>
      <c r="D9">
        <v>1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 s="8" t="s">
        <v>42</v>
      </c>
      <c r="L9" s="8" t="s">
        <v>42</v>
      </c>
      <c r="M9">
        <v>0</v>
      </c>
      <c r="N9">
        <v>0</v>
      </c>
      <c r="O9">
        <v>0</v>
      </c>
      <c r="P9" s="8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8" t="s">
        <v>42</v>
      </c>
      <c r="Z9" s="8" t="s">
        <v>42</v>
      </c>
      <c r="AA9" s="8" t="s">
        <v>42</v>
      </c>
    </row>
    <row r="10" spans="1:27" x14ac:dyDescent="0.25">
      <c r="A10">
        <v>0</v>
      </c>
      <c r="B10">
        <v>4.4999999999999998E-2</v>
      </c>
      <c r="C10">
        <v>9</v>
      </c>
      <c r="D10">
        <v>1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 s="8" t="s">
        <v>42</v>
      </c>
      <c r="L10" s="8" t="s">
        <v>42</v>
      </c>
      <c r="M10">
        <v>0</v>
      </c>
      <c r="N10">
        <v>0</v>
      </c>
      <c r="O10">
        <v>0</v>
      </c>
      <c r="P10" s="8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8" t="s">
        <v>42</v>
      </c>
      <c r="Z10" s="8" t="s">
        <v>42</v>
      </c>
      <c r="AA10" s="8" t="s">
        <v>42</v>
      </c>
    </row>
    <row r="11" spans="1:27" x14ac:dyDescent="0.25">
      <c r="A11">
        <v>0</v>
      </c>
      <c r="B11">
        <v>0.05</v>
      </c>
      <c r="C11">
        <v>10</v>
      </c>
      <c r="D11">
        <v>1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 s="8" t="s">
        <v>42</v>
      </c>
      <c r="L11" s="8" t="s">
        <v>42</v>
      </c>
      <c r="M11">
        <v>0</v>
      </c>
      <c r="N11">
        <v>0</v>
      </c>
      <c r="O11">
        <v>0</v>
      </c>
      <c r="P11" s="8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8" t="s">
        <v>42</v>
      </c>
      <c r="Z11" s="8" t="s">
        <v>42</v>
      </c>
      <c r="AA11" s="8" t="s">
        <v>42</v>
      </c>
    </row>
    <row r="12" spans="1:27" x14ac:dyDescent="0.25">
      <c r="A12">
        <v>0</v>
      </c>
      <c r="B12">
        <v>5.5E-2</v>
      </c>
      <c r="C12">
        <v>11</v>
      </c>
      <c r="D12">
        <v>1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 s="8" t="s">
        <v>42</v>
      </c>
      <c r="L12" s="8" t="s">
        <v>42</v>
      </c>
      <c r="M12">
        <v>0</v>
      </c>
      <c r="N12">
        <v>0</v>
      </c>
      <c r="O12">
        <v>0</v>
      </c>
      <c r="P12" s="8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8" t="s">
        <v>42</v>
      </c>
      <c r="Z12" s="8" t="s">
        <v>42</v>
      </c>
      <c r="AA12" s="8" t="s">
        <v>42</v>
      </c>
    </row>
    <row r="13" spans="1:27" x14ac:dyDescent="0.25">
      <c r="A13">
        <v>0</v>
      </c>
      <c r="B13">
        <v>0.06</v>
      </c>
      <c r="C13">
        <v>12</v>
      </c>
      <c r="D13">
        <v>1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 s="8" t="s">
        <v>42</v>
      </c>
      <c r="L13" s="8" t="s">
        <v>42</v>
      </c>
      <c r="M13">
        <v>0</v>
      </c>
      <c r="N13">
        <v>0</v>
      </c>
      <c r="O13">
        <v>0</v>
      </c>
      <c r="P13" s="8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8" t="s">
        <v>42</v>
      </c>
      <c r="Z13" s="8" t="s">
        <v>42</v>
      </c>
      <c r="AA13" s="8" t="s">
        <v>42</v>
      </c>
    </row>
    <row r="14" spans="1:27" x14ac:dyDescent="0.25">
      <c r="A14">
        <v>0</v>
      </c>
      <c r="B14">
        <v>6.5000000000000002E-2</v>
      </c>
      <c r="C14">
        <v>13</v>
      </c>
      <c r="D14">
        <v>1</v>
      </c>
      <c r="E14">
        <v>0</v>
      </c>
      <c r="F14">
        <v>4.5154E-4</v>
      </c>
      <c r="G14">
        <v>1</v>
      </c>
      <c r="H14">
        <v>1</v>
      </c>
      <c r="I14">
        <v>0</v>
      </c>
      <c r="J14">
        <v>0</v>
      </c>
      <c r="K14" s="8" t="s">
        <v>42</v>
      </c>
      <c r="L14" s="8" t="s">
        <v>42</v>
      </c>
      <c r="M14">
        <v>0</v>
      </c>
      <c r="N14">
        <v>0</v>
      </c>
      <c r="O14">
        <v>0</v>
      </c>
      <c r="P14" s="8">
        <v>-8.8659999999999995E-5</v>
      </c>
      <c r="Q14">
        <v>8.8659999999999995E-5</v>
      </c>
      <c r="R14">
        <v>-8.8659999999999995E-5</v>
      </c>
      <c r="S14">
        <v>2</v>
      </c>
      <c r="T14">
        <v>0</v>
      </c>
      <c r="U14">
        <v>2</v>
      </c>
      <c r="V14">
        <v>-7.6650000000000006E-5</v>
      </c>
      <c r="W14">
        <v>-4.456E-5</v>
      </c>
      <c r="X14">
        <v>0</v>
      </c>
      <c r="Y14" s="8" t="s">
        <v>43</v>
      </c>
      <c r="Z14" s="8" t="s">
        <v>42</v>
      </c>
      <c r="AA14" s="8" t="s">
        <v>42</v>
      </c>
    </row>
    <row r="15" spans="1:27" x14ac:dyDescent="0.25">
      <c r="A15">
        <v>0</v>
      </c>
      <c r="B15">
        <v>7.0000000000000007E-2</v>
      </c>
      <c r="C15">
        <v>14</v>
      </c>
      <c r="D15">
        <v>0.99990000000000001</v>
      </c>
      <c r="E15">
        <v>0</v>
      </c>
      <c r="F15">
        <v>4.0243700000000002E-3</v>
      </c>
      <c r="G15">
        <v>0.99992334999999999</v>
      </c>
      <c r="H15">
        <v>1</v>
      </c>
      <c r="I15">
        <v>0</v>
      </c>
      <c r="J15">
        <v>6.2831000000000001</v>
      </c>
      <c r="K15" s="8" t="s">
        <v>44</v>
      </c>
      <c r="L15" s="8" t="s">
        <v>42</v>
      </c>
      <c r="M15">
        <v>0</v>
      </c>
      <c r="N15">
        <v>0</v>
      </c>
      <c r="O15">
        <v>7.6650000000000006E-5</v>
      </c>
      <c r="P15" s="8">
        <v>-7.9018000000000003E-4</v>
      </c>
      <c r="Q15">
        <v>7.9018000000000003E-4</v>
      </c>
      <c r="R15">
        <v>-7.0151999999999996E-4</v>
      </c>
      <c r="S15">
        <v>2</v>
      </c>
      <c r="T15">
        <v>0</v>
      </c>
      <c r="U15">
        <v>2</v>
      </c>
      <c r="V15">
        <v>-6.7900000000000002E-4</v>
      </c>
      <c r="W15">
        <v>-4.0416999999999997E-4</v>
      </c>
      <c r="X15">
        <v>0</v>
      </c>
      <c r="Y15" s="8" t="s">
        <v>45</v>
      </c>
      <c r="Z15" s="8" t="s">
        <v>46</v>
      </c>
      <c r="AA15" s="8" t="s">
        <v>45</v>
      </c>
    </row>
    <row r="16" spans="1:27" x14ac:dyDescent="0.25">
      <c r="A16">
        <v>0</v>
      </c>
      <c r="B16">
        <v>7.4999999999999997E-2</v>
      </c>
      <c r="C16">
        <v>15</v>
      </c>
      <c r="D16">
        <v>0.99919999999999998</v>
      </c>
      <c r="E16">
        <v>-4.0000000000000002E-4</v>
      </c>
      <c r="F16">
        <v>9.3905499999999992E-3</v>
      </c>
      <c r="G16">
        <v>0.99924444999999995</v>
      </c>
      <c r="H16">
        <v>1</v>
      </c>
      <c r="I16">
        <v>0</v>
      </c>
      <c r="J16">
        <v>6.2827000000000002</v>
      </c>
      <c r="K16" s="8" t="s">
        <v>47</v>
      </c>
      <c r="L16" s="8" t="s">
        <v>48</v>
      </c>
      <c r="M16">
        <v>0</v>
      </c>
      <c r="N16">
        <v>0</v>
      </c>
      <c r="O16">
        <v>7.5555000000000001E-4</v>
      </c>
      <c r="P16" s="8">
        <v>-1.8438300000000001E-3</v>
      </c>
      <c r="Q16">
        <v>1.8438300000000001E-3</v>
      </c>
      <c r="R16">
        <v>-1.0536499999999999E-3</v>
      </c>
      <c r="S16">
        <v>2</v>
      </c>
      <c r="T16">
        <v>0</v>
      </c>
      <c r="U16">
        <v>2</v>
      </c>
      <c r="V16">
        <v>-1.5742600000000001E-3</v>
      </c>
      <c r="W16">
        <v>-9.5991000000000002E-4</v>
      </c>
      <c r="X16">
        <v>0</v>
      </c>
      <c r="Y16" s="8" t="s">
        <v>49</v>
      </c>
      <c r="Z16" s="8" t="s">
        <v>50</v>
      </c>
      <c r="AA16" s="8" t="s">
        <v>51</v>
      </c>
    </row>
    <row r="17" spans="1:27" x14ac:dyDescent="0.25">
      <c r="A17">
        <v>0</v>
      </c>
      <c r="B17">
        <v>0.08</v>
      </c>
      <c r="C17">
        <v>16</v>
      </c>
      <c r="D17">
        <v>0.99770000000000003</v>
      </c>
      <c r="E17">
        <v>-1.4E-3</v>
      </c>
      <c r="F17">
        <v>1.5996070000000001E-2</v>
      </c>
      <c r="G17">
        <v>0.99767108999999998</v>
      </c>
      <c r="H17">
        <v>1</v>
      </c>
      <c r="I17">
        <v>0</v>
      </c>
      <c r="J17">
        <v>6.2817999999999996</v>
      </c>
      <c r="K17" s="8" t="s">
        <v>52</v>
      </c>
      <c r="L17" s="8" t="s">
        <v>53</v>
      </c>
      <c r="M17">
        <v>0</v>
      </c>
      <c r="N17">
        <v>0</v>
      </c>
      <c r="O17">
        <v>2.32891E-3</v>
      </c>
      <c r="P17" s="8">
        <v>-3.1408199999999999E-3</v>
      </c>
      <c r="Q17">
        <v>3.1408199999999999E-3</v>
      </c>
      <c r="R17">
        <v>-1.29699E-3</v>
      </c>
      <c r="S17">
        <v>2</v>
      </c>
      <c r="T17">
        <v>0</v>
      </c>
      <c r="U17">
        <v>2</v>
      </c>
      <c r="V17">
        <v>-2.6634100000000002E-3</v>
      </c>
      <c r="W17">
        <v>-1.6646300000000001E-3</v>
      </c>
      <c r="X17">
        <v>0</v>
      </c>
      <c r="Y17" s="8" t="s">
        <v>54</v>
      </c>
      <c r="Z17" s="8" t="s">
        <v>55</v>
      </c>
      <c r="AA17" s="8" t="s">
        <v>56</v>
      </c>
    </row>
    <row r="18" spans="1:27" x14ac:dyDescent="0.25">
      <c r="A18">
        <v>0</v>
      </c>
      <c r="B18">
        <v>8.5000000000000006E-2</v>
      </c>
      <c r="C18">
        <v>17</v>
      </c>
      <c r="D18">
        <v>0.995</v>
      </c>
      <c r="E18">
        <v>-3.0999999999999999E-3</v>
      </c>
      <c r="F18">
        <v>2.3563850000000001E-2</v>
      </c>
      <c r="G18">
        <v>0.99501143000000003</v>
      </c>
      <c r="H18">
        <v>0.99501143000000003</v>
      </c>
      <c r="I18">
        <v>0</v>
      </c>
      <c r="J18">
        <v>6.2801</v>
      </c>
      <c r="K18" s="8" t="s">
        <v>57</v>
      </c>
      <c r="L18" s="8" t="s">
        <v>58</v>
      </c>
      <c r="M18">
        <v>0</v>
      </c>
      <c r="N18">
        <v>0</v>
      </c>
      <c r="O18">
        <v>4.9885700000000003E-3</v>
      </c>
      <c r="P18" s="8">
        <v>-6.1126799999999997E-3</v>
      </c>
      <c r="Q18">
        <v>4.6267499999999998E-3</v>
      </c>
      <c r="R18">
        <v>-1.4859300000000001E-3</v>
      </c>
      <c r="S18">
        <v>2</v>
      </c>
      <c r="T18">
        <v>0</v>
      </c>
      <c r="U18">
        <v>2</v>
      </c>
      <c r="V18">
        <v>-6.4919599999999997E-3</v>
      </c>
      <c r="W18">
        <v>-4.1614699999999996E-3</v>
      </c>
      <c r="X18">
        <v>0</v>
      </c>
      <c r="Y18" s="8" t="s">
        <v>59</v>
      </c>
      <c r="Z18" s="8" t="s">
        <v>60</v>
      </c>
      <c r="AA18" s="8" t="s">
        <v>61</v>
      </c>
    </row>
    <row r="19" spans="1:27" x14ac:dyDescent="0.25">
      <c r="A19">
        <v>0</v>
      </c>
      <c r="B19">
        <v>0.09</v>
      </c>
      <c r="C19">
        <v>18</v>
      </c>
      <c r="D19">
        <v>0.98829999999999996</v>
      </c>
      <c r="E19">
        <v>-7.0000000000000001E-3</v>
      </c>
      <c r="F19">
        <v>3.1886989999999997E-2</v>
      </c>
      <c r="G19">
        <v>0.98829149000000005</v>
      </c>
      <c r="H19">
        <v>0.99501143000000003</v>
      </c>
      <c r="I19">
        <v>0</v>
      </c>
      <c r="J19">
        <v>6.2760999999999996</v>
      </c>
      <c r="K19" s="8" t="s">
        <v>62</v>
      </c>
      <c r="L19" s="8" t="s">
        <v>63</v>
      </c>
      <c r="M19">
        <v>0</v>
      </c>
      <c r="N19">
        <v>0</v>
      </c>
      <c r="O19">
        <v>1.170851E-2</v>
      </c>
      <c r="P19" s="8">
        <v>-9.3811699999999994E-3</v>
      </c>
      <c r="Q19">
        <v>6.2610000000000001E-3</v>
      </c>
      <c r="R19">
        <v>-1.6342500000000001E-3</v>
      </c>
      <c r="S19">
        <v>2</v>
      </c>
      <c r="T19">
        <v>0</v>
      </c>
      <c r="U19">
        <v>2</v>
      </c>
      <c r="V19">
        <v>-6.9741300000000003E-3</v>
      </c>
      <c r="W19">
        <v>-4.5880799999999996E-3</v>
      </c>
      <c r="X19">
        <v>0</v>
      </c>
      <c r="Y19" s="8" t="s">
        <v>64</v>
      </c>
      <c r="Z19" s="8" t="s">
        <v>65</v>
      </c>
      <c r="AA19" s="8" t="s">
        <v>66</v>
      </c>
    </row>
    <row r="20" spans="1:27" x14ac:dyDescent="0.25">
      <c r="A20">
        <v>0</v>
      </c>
      <c r="B20">
        <v>9.5000000000000001E-2</v>
      </c>
      <c r="C20">
        <v>19</v>
      </c>
      <c r="D20">
        <v>0.98040000000000005</v>
      </c>
      <c r="E20">
        <v>-1.09E-2</v>
      </c>
      <c r="F20">
        <v>4.0815230000000001E-2</v>
      </c>
      <c r="G20">
        <v>0.98041606000000003</v>
      </c>
      <c r="H20">
        <v>0.99501143000000003</v>
      </c>
      <c r="I20">
        <v>0</v>
      </c>
      <c r="J20">
        <v>6.2721</v>
      </c>
      <c r="K20" s="8" t="s">
        <v>67</v>
      </c>
      <c r="L20" s="8" t="s">
        <v>68</v>
      </c>
      <c r="M20">
        <v>0</v>
      </c>
      <c r="N20">
        <v>0</v>
      </c>
      <c r="O20">
        <v>1.9583940000000001E-2</v>
      </c>
      <c r="P20" s="8">
        <v>-1.2887279999999999E-2</v>
      </c>
      <c r="Q20">
        <v>8.01405E-3</v>
      </c>
      <c r="R20">
        <v>-1.7530600000000001E-3</v>
      </c>
      <c r="S20">
        <v>2</v>
      </c>
      <c r="T20">
        <v>0</v>
      </c>
      <c r="U20">
        <v>2</v>
      </c>
      <c r="V20">
        <v>-8.8541000000000002E-3</v>
      </c>
      <c r="W20">
        <v>-5.9818700000000002E-3</v>
      </c>
      <c r="X20">
        <v>0</v>
      </c>
      <c r="Y20" s="8" t="s">
        <v>69</v>
      </c>
      <c r="Z20" s="8" t="s">
        <v>70</v>
      </c>
      <c r="AA20" s="8" t="s">
        <v>71</v>
      </c>
    </row>
    <row r="21" spans="1:27" x14ac:dyDescent="0.25">
      <c r="A21">
        <v>0</v>
      </c>
      <c r="B21">
        <v>0.1</v>
      </c>
      <c r="C21">
        <v>20</v>
      </c>
      <c r="D21">
        <v>0.96960000000000002</v>
      </c>
      <c r="E21">
        <v>-1.5299999999999999E-2</v>
      </c>
      <c r="F21">
        <v>5.0211560000000002E-2</v>
      </c>
      <c r="G21">
        <v>0.96969671999999996</v>
      </c>
      <c r="H21">
        <v>0.99501143000000003</v>
      </c>
      <c r="I21">
        <v>0</v>
      </c>
      <c r="J21">
        <v>6.2674000000000003</v>
      </c>
      <c r="K21" s="8" t="s">
        <v>72</v>
      </c>
      <c r="L21" s="8" t="s">
        <v>73</v>
      </c>
      <c r="M21">
        <v>0</v>
      </c>
      <c r="N21">
        <v>0</v>
      </c>
      <c r="O21">
        <v>3.0303279999999998E-2</v>
      </c>
      <c r="P21" s="8">
        <v>-1.6577209999999998E-2</v>
      </c>
      <c r="Q21">
        <v>9.8590199999999996E-3</v>
      </c>
      <c r="R21">
        <v>-1.8449600000000001E-3</v>
      </c>
      <c r="S21">
        <v>2</v>
      </c>
      <c r="T21">
        <v>0</v>
      </c>
      <c r="U21">
        <v>2</v>
      </c>
      <c r="V21">
        <v>-1.0798139999999999E-2</v>
      </c>
      <c r="W21">
        <v>-7.4967100000000002E-3</v>
      </c>
      <c r="X21">
        <v>0</v>
      </c>
      <c r="Y21" s="8" t="s">
        <v>74</v>
      </c>
      <c r="Z21" s="8" t="s">
        <v>75</v>
      </c>
      <c r="AA21" s="8" t="s">
        <v>76</v>
      </c>
    </row>
    <row r="22" spans="1:27" x14ac:dyDescent="0.25">
      <c r="A22">
        <v>0</v>
      </c>
      <c r="B22">
        <v>0.105</v>
      </c>
      <c r="C22">
        <v>21</v>
      </c>
      <c r="D22">
        <v>0.95569999999999999</v>
      </c>
      <c r="E22">
        <v>-2.0299999999999999E-2</v>
      </c>
      <c r="F22">
        <v>5.995052E-2</v>
      </c>
      <c r="G22">
        <v>0.95589393</v>
      </c>
      <c r="H22">
        <v>0.99501143000000003</v>
      </c>
      <c r="I22">
        <v>0</v>
      </c>
      <c r="J22">
        <v>6.2619999999999996</v>
      </c>
      <c r="K22" s="8" t="s">
        <v>77</v>
      </c>
      <c r="L22" s="8" t="s">
        <v>78</v>
      </c>
      <c r="M22">
        <v>0</v>
      </c>
      <c r="N22">
        <v>0</v>
      </c>
      <c r="O22">
        <v>4.4106069999999997E-2</v>
      </c>
      <c r="P22" s="8">
        <v>-2.040169E-2</v>
      </c>
      <c r="Q22">
        <v>1.177126E-2</v>
      </c>
      <c r="R22">
        <v>-1.9122399999999999E-3</v>
      </c>
      <c r="S22">
        <v>2</v>
      </c>
      <c r="T22">
        <v>0</v>
      </c>
      <c r="U22">
        <v>2</v>
      </c>
      <c r="V22">
        <v>-1.2774020000000001E-2</v>
      </c>
      <c r="W22">
        <v>-9.1190899999999998E-3</v>
      </c>
      <c r="X22">
        <v>0</v>
      </c>
      <c r="Y22" s="8" t="s">
        <v>79</v>
      </c>
      <c r="Z22" s="8" t="s">
        <v>80</v>
      </c>
      <c r="AA22" s="8" t="s">
        <v>81</v>
      </c>
    </row>
    <row r="23" spans="1:27" x14ac:dyDescent="0.25">
      <c r="A23">
        <v>0</v>
      </c>
      <c r="B23">
        <v>0.11</v>
      </c>
      <c r="C23">
        <v>22</v>
      </c>
      <c r="D23">
        <v>0.9385</v>
      </c>
      <c r="E23">
        <v>-2.5700000000000001E-2</v>
      </c>
      <c r="F23">
        <v>6.9914219999999999E-2</v>
      </c>
      <c r="G23">
        <v>0.93885876999999995</v>
      </c>
      <c r="H23">
        <v>0.99501143000000003</v>
      </c>
      <c r="I23">
        <v>0</v>
      </c>
      <c r="J23">
        <v>6.2557999999999998</v>
      </c>
      <c r="K23" s="8" t="s">
        <v>82</v>
      </c>
      <c r="L23" s="8" t="s">
        <v>83</v>
      </c>
      <c r="M23">
        <v>0</v>
      </c>
      <c r="N23">
        <v>0</v>
      </c>
      <c r="O23">
        <v>6.1141229999999998E-2</v>
      </c>
      <c r="P23" s="8">
        <v>-2.4314430000000001E-2</v>
      </c>
      <c r="Q23">
        <v>1.3727619999999999E-2</v>
      </c>
      <c r="R23">
        <v>-1.9563699999999998E-3</v>
      </c>
      <c r="S23">
        <v>2</v>
      </c>
      <c r="T23">
        <v>0</v>
      </c>
      <c r="U23">
        <v>2</v>
      </c>
      <c r="V23">
        <v>-1.475186E-2</v>
      </c>
      <c r="W23">
        <v>-1.083517E-2</v>
      </c>
      <c r="X23">
        <v>0</v>
      </c>
      <c r="Y23" s="8" t="s">
        <v>84</v>
      </c>
      <c r="Z23" s="8" t="s">
        <v>85</v>
      </c>
      <c r="AA23" s="8" t="s">
        <v>86</v>
      </c>
    </row>
    <row r="24" spans="1:27" x14ac:dyDescent="0.25">
      <c r="A24">
        <v>0</v>
      </c>
      <c r="B24">
        <v>0.115</v>
      </c>
      <c r="C24">
        <v>23</v>
      </c>
      <c r="D24">
        <v>0.91800000000000004</v>
      </c>
      <c r="E24">
        <v>-3.15E-2</v>
      </c>
      <c r="F24">
        <v>7.9990389999999995E-2</v>
      </c>
      <c r="G24">
        <v>0.91851432</v>
      </c>
      <c r="H24">
        <v>0.99501143000000003</v>
      </c>
      <c r="I24">
        <v>0</v>
      </c>
      <c r="J24">
        <v>6.2488999999999999</v>
      </c>
      <c r="K24" s="8" t="s">
        <v>87</v>
      </c>
      <c r="L24" s="8" t="s">
        <v>88</v>
      </c>
      <c r="M24">
        <v>0</v>
      </c>
      <c r="N24">
        <v>0</v>
      </c>
      <c r="O24">
        <v>8.1485680000000005E-2</v>
      </c>
      <c r="P24" s="8">
        <v>-2.8271330000000001E-2</v>
      </c>
      <c r="Q24">
        <v>1.5706080000000001E-2</v>
      </c>
      <c r="R24">
        <v>-1.9784500000000001E-3</v>
      </c>
      <c r="S24">
        <v>2</v>
      </c>
      <c r="T24">
        <v>0</v>
      </c>
      <c r="U24">
        <v>2</v>
      </c>
      <c r="V24">
        <v>-1.670377E-2</v>
      </c>
      <c r="W24">
        <v>-1.263043E-2</v>
      </c>
      <c r="X24">
        <v>0</v>
      </c>
      <c r="Y24" s="8" t="s">
        <v>89</v>
      </c>
      <c r="Z24" s="8" t="s">
        <v>90</v>
      </c>
      <c r="AA24" s="8" t="s">
        <v>91</v>
      </c>
    </row>
    <row r="25" spans="1:27" x14ac:dyDescent="0.25">
      <c r="A25">
        <v>0</v>
      </c>
      <c r="B25">
        <v>0.12</v>
      </c>
      <c r="C25">
        <v>24</v>
      </c>
      <c r="D25">
        <v>0.89410000000000001</v>
      </c>
      <c r="E25">
        <v>-3.7699999999999997E-2</v>
      </c>
      <c r="F25">
        <v>9.0071590000000007E-2</v>
      </c>
      <c r="G25">
        <v>0.89484587000000004</v>
      </c>
      <c r="H25">
        <v>0.99501143000000003</v>
      </c>
      <c r="I25">
        <v>0</v>
      </c>
      <c r="J25">
        <v>6.2411000000000003</v>
      </c>
      <c r="K25" s="8" t="s">
        <v>92</v>
      </c>
      <c r="L25" s="8" t="s">
        <v>93</v>
      </c>
      <c r="M25">
        <v>0</v>
      </c>
      <c r="N25">
        <v>0</v>
      </c>
      <c r="O25">
        <v>0.10515413</v>
      </c>
      <c r="P25" s="8">
        <v>-3.2230210000000002E-2</v>
      </c>
      <c r="Q25">
        <v>1.768552E-2</v>
      </c>
      <c r="R25">
        <v>-1.9794399999999998E-3</v>
      </c>
      <c r="S25">
        <v>2</v>
      </c>
      <c r="T25">
        <v>0</v>
      </c>
      <c r="U25">
        <v>2</v>
      </c>
      <c r="V25">
        <v>-1.8603829999999998E-2</v>
      </c>
      <c r="W25">
        <v>-1.4489520000000001E-2</v>
      </c>
      <c r="X25">
        <v>0</v>
      </c>
      <c r="Y25" s="8" t="s">
        <v>94</v>
      </c>
      <c r="Z25" s="8" t="s">
        <v>95</v>
      </c>
      <c r="AA25" s="8" t="s">
        <v>96</v>
      </c>
    </row>
    <row r="26" spans="1:27" x14ac:dyDescent="0.25">
      <c r="A26">
        <v>0</v>
      </c>
      <c r="B26">
        <v>0.125</v>
      </c>
      <c r="C26">
        <v>25</v>
      </c>
      <c r="D26">
        <v>0.86680000000000001</v>
      </c>
      <c r="E26">
        <v>-4.4200000000000003E-2</v>
      </c>
      <c r="F26">
        <v>0.10005505000000001</v>
      </c>
      <c r="G26">
        <v>0.86789437999999997</v>
      </c>
      <c r="H26">
        <v>0.99501143000000003</v>
      </c>
      <c r="I26">
        <v>0</v>
      </c>
      <c r="J26">
        <v>6.2321999999999997</v>
      </c>
      <c r="K26" s="8" t="s">
        <v>97</v>
      </c>
      <c r="L26" s="8" t="s">
        <v>98</v>
      </c>
      <c r="M26">
        <v>0</v>
      </c>
      <c r="N26">
        <v>0</v>
      </c>
      <c r="O26">
        <v>0.13210562000000001</v>
      </c>
      <c r="P26" s="8">
        <v>-3.6150700000000001E-2</v>
      </c>
      <c r="Q26">
        <v>1.9645760000000002E-2</v>
      </c>
      <c r="R26">
        <v>-1.9602500000000002E-3</v>
      </c>
      <c r="S26">
        <v>2</v>
      </c>
      <c r="T26">
        <v>0</v>
      </c>
      <c r="U26">
        <v>2</v>
      </c>
      <c r="V26">
        <v>-2.0428169999999999E-2</v>
      </c>
      <c r="W26">
        <v>-1.6396150000000002E-2</v>
      </c>
      <c r="X26">
        <v>0</v>
      </c>
      <c r="Y26" s="8" t="s">
        <v>99</v>
      </c>
      <c r="Z26" s="8" t="s">
        <v>100</v>
      </c>
      <c r="AA26" s="8" t="s">
        <v>101</v>
      </c>
    </row>
    <row r="27" spans="1:27" x14ac:dyDescent="0.25">
      <c r="A27">
        <v>0</v>
      </c>
      <c r="B27">
        <v>0.13</v>
      </c>
      <c r="C27">
        <v>26</v>
      </c>
      <c r="D27">
        <v>0.83620000000000005</v>
      </c>
      <c r="E27">
        <v>-5.0999999999999997E-2</v>
      </c>
      <c r="F27">
        <v>0.10984296</v>
      </c>
      <c r="G27">
        <v>0.83775138999999998</v>
      </c>
      <c r="H27">
        <v>0.99501143000000003</v>
      </c>
      <c r="I27">
        <v>0</v>
      </c>
      <c r="J27">
        <v>6.2222</v>
      </c>
      <c r="K27" s="8" t="s">
        <v>102</v>
      </c>
      <c r="L27" s="8" t="s">
        <v>103</v>
      </c>
      <c r="M27">
        <v>0</v>
      </c>
      <c r="N27">
        <v>0</v>
      </c>
      <c r="O27">
        <v>0.16224860999999999</v>
      </c>
      <c r="P27" s="8">
        <v>-3.9994410000000001E-2</v>
      </c>
      <c r="Q27">
        <v>2.1567619999999999E-2</v>
      </c>
      <c r="R27">
        <v>-1.9218499999999999E-3</v>
      </c>
      <c r="S27">
        <v>2</v>
      </c>
      <c r="T27">
        <v>0</v>
      </c>
      <c r="U27">
        <v>2</v>
      </c>
      <c r="V27">
        <v>-2.215514E-2</v>
      </c>
      <c r="W27">
        <v>-1.8333149999999999E-2</v>
      </c>
      <c r="X27">
        <v>0</v>
      </c>
      <c r="Y27" s="8" t="s">
        <v>104</v>
      </c>
      <c r="Z27" s="8" t="s">
        <v>105</v>
      </c>
      <c r="AA27" s="8" t="s">
        <v>106</v>
      </c>
    </row>
    <row r="28" spans="1:27" x14ac:dyDescent="0.25">
      <c r="A28">
        <v>0</v>
      </c>
      <c r="B28">
        <v>0.13500000000000001</v>
      </c>
      <c r="C28">
        <v>27</v>
      </c>
      <c r="D28">
        <v>0.80249999999999999</v>
      </c>
      <c r="E28">
        <v>-5.8099999999999999E-2</v>
      </c>
      <c r="F28">
        <v>0.11934297000000001</v>
      </c>
      <c r="G28">
        <v>0.80455460999999995</v>
      </c>
      <c r="H28">
        <v>0.99501143000000003</v>
      </c>
      <c r="I28">
        <v>0</v>
      </c>
      <c r="J28">
        <v>6.2108999999999996</v>
      </c>
      <c r="K28" s="8" t="s">
        <v>107</v>
      </c>
      <c r="L28" s="8" t="s">
        <v>108</v>
      </c>
      <c r="M28">
        <v>0</v>
      </c>
      <c r="N28">
        <v>0</v>
      </c>
      <c r="O28">
        <v>0.19544539</v>
      </c>
      <c r="P28" s="8">
        <v>-4.3725050000000001E-2</v>
      </c>
      <c r="Q28">
        <v>2.3432939999999999E-2</v>
      </c>
      <c r="R28">
        <v>-1.86532E-3</v>
      </c>
      <c r="S28">
        <v>2</v>
      </c>
      <c r="T28">
        <v>0</v>
      </c>
      <c r="U28">
        <v>2</v>
      </c>
      <c r="V28">
        <v>-2.376553E-2</v>
      </c>
      <c r="W28">
        <v>-2.0282560000000002E-2</v>
      </c>
      <c r="X28">
        <v>0</v>
      </c>
      <c r="Y28" s="8" t="s">
        <v>109</v>
      </c>
      <c r="Z28" s="8" t="s">
        <v>110</v>
      </c>
      <c r="AA28" s="8" t="s">
        <v>111</v>
      </c>
    </row>
    <row r="29" spans="1:27" x14ac:dyDescent="0.25">
      <c r="A29">
        <v>0</v>
      </c>
      <c r="B29">
        <v>0.14000000000000001</v>
      </c>
      <c r="C29">
        <v>28</v>
      </c>
      <c r="D29">
        <v>0.76570000000000005</v>
      </c>
      <c r="E29">
        <v>-6.54E-2</v>
      </c>
      <c r="F29">
        <v>0.12846872000000001</v>
      </c>
      <c r="G29">
        <v>0.76848380000000005</v>
      </c>
      <c r="H29">
        <v>0.99501143000000003</v>
      </c>
      <c r="I29">
        <v>0</v>
      </c>
      <c r="J29">
        <v>6.1980000000000004</v>
      </c>
      <c r="K29" s="8" t="s">
        <v>112</v>
      </c>
      <c r="L29" s="8" t="s">
        <v>113</v>
      </c>
      <c r="M29">
        <v>0</v>
      </c>
      <c r="N29">
        <v>0</v>
      </c>
      <c r="O29">
        <v>0.23151620000000001</v>
      </c>
      <c r="P29" s="8">
        <v>-4.730873E-2</v>
      </c>
      <c r="Q29">
        <v>2.5224770000000001E-2</v>
      </c>
      <c r="R29">
        <v>-1.7918400000000001E-3</v>
      </c>
      <c r="S29">
        <v>2</v>
      </c>
      <c r="T29">
        <v>0</v>
      </c>
      <c r="U29">
        <v>2</v>
      </c>
      <c r="V29">
        <v>-2.5242750000000001E-2</v>
      </c>
      <c r="W29">
        <v>-2.2225769999999999E-2</v>
      </c>
      <c r="X29">
        <v>0</v>
      </c>
      <c r="Y29" s="8" t="s">
        <v>114</v>
      </c>
      <c r="Z29" s="8" t="s">
        <v>115</v>
      </c>
      <c r="AA29" s="8" t="s">
        <v>116</v>
      </c>
    </row>
    <row r="30" spans="1:27" x14ac:dyDescent="0.25">
      <c r="A30">
        <v>0</v>
      </c>
      <c r="B30">
        <v>0.14499999999999999</v>
      </c>
      <c r="C30">
        <v>29</v>
      </c>
      <c r="D30">
        <v>0.72609999999999997</v>
      </c>
      <c r="E30">
        <v>-7.2900000000000006E-2</v>
      </c>
      <c r="F30">
        <v>0.1371405</v>
      </c>
      <c r="G30">
        <v>0.72975701999999998</v>
      </c>
      <c r="H30">
        <v>0.99501143000000003</v>
      </c>
      <c r="I30">
        <v>0</v>
      </c>
      <c r="J30">
        <v>6.1832000000000003</v>
      </c>
      <c r="K30" s="8" t="s">
        <v>117</v>
      </c>
      <c r="L30" s="8" t="s">
        <v>118</v>
      </c>
      <c r="M30">
        <v>0</v>
      </c>
      <c r="N30">
        <v>0</v>
      </c>
      <c r="O30">
        <v>0.27024298000000002</v>
      </c>
      <c r="P30" s="8">
        <v>-5.0714130000000003E-2</v>
      </c>
      <c r="Q30">
        <v>2.6927469999999998E-2</v>
      </c>
      <c r="R30">
        <v>-1.7026999999999999E-3</v>
      </c>
      <c r="S30">
        <v>2</v>
      </c>
      <c r="T30">
        <v>0</v>
      </c>
      <c r="U30">
        <v>2</v>
      </c>
      <c r="V30">
        <v>-2.6573030000000001E-2</v>
      </c>
      <c r="W30">
        <v>-2.414376E-2</v>
      </c>
      <c r="X30">
        <v>0</v>
      </c>
      <c r="Y30" s="8" t="s">
        <v>119</v>
      </c>
      <c r="Z30" s="8" t="s">
        <v>120</v>
      </c>
      <c r="AA30" s="8" t="s">
        <v>121</v>
      </c>
    </row>
    <row r="31" spans="1:27" x14ac:dyDescent="0.25">
      <c r="A31">
        <v>0</v>
      </c>
      <c r="B31">
        <v>0.15</v>
      </c>
      <c r="C31">
        <v>30</v>
      </c>
      <c r="D31">
        <v>0.68389999999999995</v>
      </c>
      <c r="E31">
        <v>-8.0399999999999999E-2</v>
      </c>
      <c r="F31">
        <v>0.14528584</v>
      </c>
      <c r="G31">
        <v>0.68862729</v>
      </c>
      <c r="H31">
        <v>0.99501143000000003</v>
      </c>
      <c r="I31">
        <v>0</v>
      </c>
      <c r="J31">
        <v>6.1661000000000001</v>
      </c>
      <c r="K31" s="8" t="s">
        <v>122</v>
      </c>
      <c r="L31" s="8" t="s">
        <v>123</v>
      </c>
      <c r="M31">
        <v>0</v>
      </c>
      <c r="N31">
        <v>0</v>
      </c>
      <c r="O31">
        <v>0.31137271</v>
      </c>
      <c r="P31" s="8">
        <v>-5.3912790000000002E-2</v>
      </c>
      <c r="Q31">
        <v>2.852681E-2</v>
      </c>
      <c r="R31">
        <v>-1.5993299999999999E-3</v>
      </c>
      <c r="S31">
        <v>2</v>
      </c>
      <c r="T31">
        <v>0</v>
      </c>
      <c r="U31">
        <v>2</v>
      </c>
      <c r="V31">
        <v>-2.7745530000000001E-2</v>
      </c>
      <c r="W31">
        <v>-2.6017370000000001E-2</v>
      </c>
      <c r="X31">
        <v>0</v>
      </c>
      <c r="Y31" s="8" t="s">
        <v>124</v>
      </c>
      <c r="Z31" s="8" t="s">
        <v>125</v>
      </c>
      <c r="AA31" s="8" t="s">
        <v>126</v>
      </c>
    </row>
    <row r="32" spans="1:27" x14ac:dyDescent="0.25">
      <c r="A32">
        <v>0</v>
      </c>
      <c r="B32">
        <v>0.155</v>
      </c>
      <c r="C32">
        <v>31</v>
      </c>
      <c r="D32">
        <v>0.63929999999999998</v>
      </c>
      <c r="E32">
        <v>-8.8099999999999998E-2</v>
      </c>
      <c r="F32">
        <v>0.15284</v>
      </c>
      <c r="G32">
        <v>0.64537997000000003</v>
      </c>
      <c r="H32">
        <v>0.99501143000000003</v>
      </c>
      <c r="I32">
        <v>0</v>
      </c>
      <c r="J32">
        <v>6.1463000000000001</v>
      </c>
      <c r="K32" s="8" t="s">
        <v>127</v>
      </c>
      <c r="L32" s="8" t="s">
        <v>128</v>
      </c>
      <c r="M32">
        <v>0</v>
      </c>
      <c r="N32">
        <v>0</v>
      </c>
      <c r="O32">
        <v>0.35462002999999997</v>
      </c>
      <c r="P32" s="8">
        <v>-5.6879310000000002E-2</v>
      </c>
      <c r="Q32">
        <v>3.0010060000000002E-2</v>
      </c>
      <c r="R32">
        <v>-1.4832599999999999E-3</v>
      </c>
      <c r="S32">
        <v>2</v>
      </c>
      <c r="T32">
        <v>0</v>
      </c>
      <c r="U32">
        <v>2</v>
      </c>
      <c r="V32">
        <v>-2.8752420000000001E-2</v>
      </c>
      <c r="W32">
        <v>-2.7827540000000001E-2</v>
      </c>
      <c r="X32">
        <v>0</v>
      </c>
      <c r="Y32" s="8" t="s">
        <v>129</v>
      </c>
      <c r="Z32" s="8" t="s">
        <v>130</v>
      </c>
      <c r="AA32" s="8" t="s">
        <v>131</v>
      </c>
    </row>
    <row r="33" spans="1:27" x14ac:dyDescent="0.25">
      <c r="A33">
        <v>0</v>
      </c>
      <c r="B33">
        <v>0.16</v>
      </c>
      <c r="C33">
        <v>32</v>
      </c>
      <c r="D33">
        <v>0.59260000000000002</v>
      </c>
      <c r="E33">
        <v>-9.5799999999999996E-2</v>
      </c>
      <c r="F33">
        <v>0.15974642</v>
      </c>
      <c r="G33">
        <v>0.60033143</v>
      </c>
      <c r="H33">
        <v>0.99501143000000003</v>
      </c>
      <c r="I33">
        <v>0</v>
      </c>
      <c r="J33">
        <v>6.1230000000000002</v>
      </c>
      <c r="K33" s="8" t="s">
        <v>132</v>
      </c>
      <c r="L33" s="8" t="s">
        <v>133</v>
      </c>
      <c r="M33">
        <v>0</v>
      </c>
      <c r="N33">
        <v>0</v>
      </c>
      <c r="O33">
        <v>0.39966857</v>
      </c>
      <c r="P33" s="8">
        <v>-5.9591449999999997E-2</v>
      </c>
      <c r="Q33">
        <v>3.1366140000000001E-2</v>
      </c>
      <c r="R33">
        <v>-1.35607E-3</v>
      </c>
      <c r="S33">
        <v>2</v>
      </c>
      <c r="T33">
        <v>0</v>
      </c>
      <c r="U33">
        <v>2</v>
      </c>
      <c r="V33">
        <v>-2.958885E-2</v>
      </c>
      <c r="W33">
        <v>-2.9555689999999999E-2</v>
      </c>
      <c r="X33">
        <v>0</v>
      </c>
      <c r="Y33" s="8" t="s">
        <v>134</v>
      </c>
      <c r="Z33" s="8" t="s">
        <v>135</v>
      </c>
      <c r="AA33" s="8" t="s">
        <v>136</v>
      </c>
    </row>
    <row r="34" spans="1:27" x14ac:dyDescent="0.25">
      <c r="A34">
        <v>0</v>
      </c>
      <c r="B34">
        <v>0.16500000000000001</v>
      </c>
      <c r="C34">
        <v>33</v>
      </c>
      <c r="D34">
        <v>0.54410000000000003</v>
      </c>
      <c r="E34">
        <v>-0.10340000000000001</v>
      </c>
      <c r="F34">
        <v>0.16595699</v>
      </c>
      <c r="G34">
        <v>0.55382978999999999</v>
      </c>
      <c r="H34">
        <v>0.99501143000000003</v>
      </c>
      <c r="I34">
        <v>0</v>
      </c>
      <c r="J34">
        <v>6.0953999999999997</v>
      </c>
      <c r="K34" s="8" t="s">
        <v>137</v>
      </c>
      <c r="L34" s="8" t="s">
        <v>138</v>
      </c>
      <c r="M34">
        <v>0</v>
      </c>
      <c r="N34">
        <v>0</v>
      </c>
      <c r="O34">
        <v>0.44617021000000001</v>
      </c>
      <c r="P34" s="8">
        <v>-6.2030340000000003E-2</v>
      </c>
      <c r="Q34">
        <v>3.2585580000000003E-2</v>
      </c>
      <c r="R34">
        <v>-1.21944E-3</v>
      </c>
      <c r="S34">
        <v>2</v>
      </c>
      <c r="T34">
        <v>0</v>
      </c>
      <c r="U34">
        <v>2</v>
      </c>
      <c r="V34">
        <v>-3.0252910000000001E-2</v>
      </c>
      <c r="W34">
        <v>-3.1184E-2</v>
      </c>
      <c r="X34">
        <v>0</v>
      </c>
      <c r="Y34" s="8" t="s">
        <v>139</v>
      </c>
      <c r="Z34" s="8" t="s">
        <v>140</v>
      </c>
      <c r="AA34" s="8" t="s">
        <v>141</v>
      </c>
    </row>
    <row r="35" spans="1:27" x14ac:dyDescent="0.25">
      <c r="A35">
        <v>0</v>
      </c>
      <c r="B35">
        <v>0.17</v>
      </c>
      <c r="C35">
        <v>34</v>
      </c>
      <c r="D35">
        <v>0.49399999999999999</v>
      </c>
      <c r="E35">
        <v>-0.1109</v>
      </c>
      <c r="F35">
        <v>0.17143225000000001</v>
      </c>
      <c r="G35">
        <v>0.50625924</v>
      </c>
      <c r="H35">
        <v>0.99501143000000003</v>
      </c>
      <c r="I35">
        <v>0</v>
      </c>
      <c r="J35">
        <v>6.0622999999999996</v>
      </c>
      <c r="K35" s="8" t="s">
        <v>142</v>
      </c>
      <c r="L35" s="8" t="s">
        <v>143</v>
      </c>
      <c r="M35">
        <v>0</v>
      </c>
      <c r="N35">
        <v>0</v>
      </c>
      <c r="O35">
        <v>0.49374076</v>
      </c>
      <c r="P35" s="8">
        <v>-6.4180470000000003E-2</v>
      </c>
      <c r="Q35">
        <v>3.3660639999999999E-2</v>
      </c>
      <c r="R35">
        <v>-1.0750600000000001E-3</v>
      </c>
      <c r="S35">
        <v>2</v>
      </c>
      <c r="T35">
        <v>0</v>
      </c>
      <c r="U35">
        <v>2</v>
      </c>
      <c r="V35">
        <v>-3.0745410000000001E-2</v>
      </c>
      <c r="W35">
        <v>-3.2695729999999999E-2</v>
      </c>
      <c r="X35">
        <v>0</v>
      </c>
      <c r="Y35" s="8" t="s">
        <v>144</v>
      </c>
      <c r="Z35" s="8" t="s">
        <v>145</v>
      </c>
      <c r="AA35" s="8" t="s">
        <v>146</v>
      </c>
    </row>
    <row r="36" spans="1:27" x14ac:dyDescent="0.25">
      <c r="A36">
        <v>0</v>
      </c>
      <c r="B36">
        <v>0.17499999999999999</v>
      </c>
      <c r="C36">
        <v>35</v>
      </c>
      <c r="D36">
        <v>0.4425</v>
      </c>
      <c r="E36">
        <v>-0.1183</v>
      </c>
      <c r="F36">
        <v>0.17614137999999999</v>
      </c>
      <c r="G36">
        <v>0.45805033000000001</v>
      </c>
      <c r="H36">
        <v>0.99501143000000003</v>
      </c>
      <c r="I36">
        <v>0</v>
      </c>
      <c r="J36">
        <v>6.0220000000000002</v>
      </c>
      <c r="K36" s="8" t="s">
        <v>147</v>
      </c>
      <c r="L36" s="8" t="s">
        <v>148</v>
      </c>
      <c r="M36">
        <v>0</v>
      </c>
      <c r="N36">
        <v>0</v>
      </c>
      <c r="O36">
        <v>0.54194967000000005</v>
      </c>
      <c r="P36" s="8">
        <v>-6.6029740000000003E-2</v>
      </c>
      <c r="Q36">
        <v>3.4585280000000003E-2</v>
      </c>
      <c r="R36">
        <v>-9.2462999999999996E-4</v>
      </c>
      <c r="S36">
        <v>2</v>
      </c>
      <c r="T36">
        <v>0</v>
      </c>
      <c r="U36">
        <v>2</v>
      </c>
      <c r="V36">
        <v>-3.106975E-2</v>
      </c>
      <c r="W36">
        <v>-3.4075569999999999E-2</v>
      </c>
      <c r="X36">
        <v>0</v>
      </c>
      <c r="Y36" s="8" t="s">
        <v>149</v>
      </c>
      <c r="Z36" s="8" t="s">
        <v>150</v>
      </c>
      <c r="AA36" s="8" t="s">
        <v>151</v>
      </c>
    </row>
    <row r="37" spans="1:27" x14ac:dyDescent="0.25">
      <c r="A37">
        <v>0</v>
      </c>
      <c r="B37">
        <v>0.18</v>
      </c>
      <c r="C37">
        <v>36</v>
      </c>
      <c r="D37">
        <v>0.39</v>
      </c>
      <c r="E37">
        <v>-0.12540000000000001</v>
      </c>
      <c r="F37">
        <v>0.18006211</v>
      </c>
      <c r="G37">
        <v>0.40970073000000001</v>
      </c>
      <c r="H37">
        <v>0.99501143000000003</v>
      </c>
      <c r="I37">
        <v>0</v>
      </c>
      <c r="J37">
        <v>5.9722</v>
      </c>
      <c r="K37" s="8" t="s">
        <v>152</v>
      </c>
      <c r="L37" s="8" t="s">
        <v>153</v>
      </c>
      <c r="M37">
        <v>0</v>
      </c>
      <c r="N37">
        <v>0</v>
      </c>
      <c r="O37">
        <v>0.59029927000000004</v>
      </c>
      <c r="P37" s="8">
        <v>-6.7569400000000002E-2</v>
      </c>
      <c r="Q37">
        <v>3.5355110000000002E-2</v>
      </c>
      <c r="R37">
        <v>-7.6982999999999999E-4</v>
      </c>
      <c r="S37">
        <v>2</v>
      </c>
      <c r="T37">
        <v>0</v>
      </c>
      <c r="U37">
        <v>2</v>
      </c>
      <c r="V37">
        <v>-3.1231539999999999E-2</v>
      </c>
      <c r="W37">
        <v>-3.5309840000000002E-2</v>
      </c>
      <c r="X37">
        <v>0</v>
      </c>
      <c r="Y37" s="8" t="s">
        <v>154</v>
      </c>
      <c r="Z37" s="8" t="s">
        <v>155</v>
      </c>
      <c r="AA37" s="8" t="s">
        <v>156</v>
      </c>
    </row>
    <row r="38" spans="1:27" x14ac:dyDescent="0.25">
      <c r="A38">
        <v>0</v>
      </c>
      <c r="B38">
        <v>0.185</v>
      </c>
      <c r="C38">
        <v>37</v>
      </c>
      <c r="D38">
        <v>0.33679999999999999</v>
      </c>
      <c r="E38">
        <v>-0.13220000000000001</v>
      </c>
      <c r="F38">
        <v>0.18318050999999999</v>
      </c>
      <c r="G38">
        <v>0.36181427999999999</v>
      </c>
      <c r="H38">
        <v>0.99501143000000003</v>
      </c>
      <c r="I38">
        <v>0</v>
      </c>
      <c r="J38">
        <v>5.9092000000000002</v>
      </c>
      <c r="K38" s="8" t="s">
        <v>157</v>
      </c>
      <c r="L38" s="8" t="s">
        <v>158</v>
      </c>
      <c r="M38">
        <v>0</v>
      </c>
      <c r="N38">
        <v>0</v>
      </c>
      <c r="O38">
        <v>0.63818571999999996</v>
      </c>
      <c r="P38" s="8">
        <v>-6.8793999999999994E-2</v>
      </c>
      <c r="Q38">
        <v>3.5967409999999998E-2</v>
      </c>
      <c r="R38">
        <v>-6.1229999999999998E-4</v>
      </c>
      <c r="S38">
        <v>2</v>
      </c>
      <c r="T38">
        <v>0</v>
      </c>
      <c r="U38">
        <v>2</v>
      </c>
      <c r="V38">
        <v>-3.123834E-2</v>
      </c>
      <c r="W38">
        <v>-3.6386759999999997E-2</v>
      </c>
      <c r="X38">
        <v>0</v>
      </c>
      <c r="Y38" s="8" t="s">
        <v>159</v>
      </c>
      <c r="Z38" s="8" t="s">
        <v>160</v>
      </c>
      <c r="AA38" s="8" t="s">
        <v>161</v>
      </c>
    </row>
    <row r="39" spans="1:27" x14ac:dyDescent="0.25">
      <c r="A39">
        <v>0</v>
      </c>
      <c r="B39">
        <v>0.19</v>
      </c>
      <c r="C39">
        <v>38</v>
      </c>
      <c r="D39">
        <v>0.28299999999999997</v>
      </c>
      <c r="E39">
        <v>-0.1386</v>
      </c>
      <c r="F39">
        <v>0.18549062999999999</v>
      </c>
      <c r="G39">
        <v>0.3151736</v>
      </c>
      <c r="H39">
        <v>0.99501143000000003</v>
      </c>
      <c r="I39">
        <v>0</v>
      </c>
      <c r="J39">
        <v>5.8277000000000001</v>
      </c>
      <c r="K39" s="8" t="s">
        <v>162</v>
      </c>
      <c r="L39" s="8" t="s">
        <v>163</v>
      </c>
      <c r="M39">
        <v>0</v>
      </c>
      <c r="N39">
        <v>0</v>
      </c>
      <c r="O39">
        <v>0.68482639999999995</v>
      </c>
      <c r="P39" s="8">
        <v>-6.9701180000000001E-2</v>
      </c>
      <c r="Q39">
        <v>3.6421000000000002E-2</v>
      </c>
      <c r="R39">
        <v>-4.5359000000000003E-4</v>
      </c>
      <c r="S39">
        <v>2</v>
      </c>
      <c r="T39">
        <v>0</v>
      </c>
      <c r="U39">
        <v>2</v>
      </c>
      <c r="V39">
        <v>-3.1099269999999998E-2</v>
      </c>
      <c r="W39">
        <v>-3.7296629999999997E-2</v>
      </c>
      <c r="X39">
        <v>0</v>
      </c>
      <c r="Y39" s="8" t="s">
        <v>164</v>
      </c>
      <c r="Z39" s="8" t="s">
        <v>165</v>
      </c>
      <c r="AA39" s="8" t="s">
        <v>166</v>
      </c>
    </row>
    <row r="40" spans="1:27" x14ac:dyDescent="0.25">
      <c r="A40">
        <v>0</v>
      </c>
      <c r="B40">
        <v>0.19500000000000001</v>
      </c>
      <c r="C40">
        <v>39</v>
      </c>
      <c r="D40">
        <v>0.22900000000000001</v>
      </c>
      <c r="E40">
        <v>-0.14460000000000001</v>
      </c>
      <c r="F40">
        <v>0.18699408000000001</v>
      </c>
      <c r="G40">
        <v>0.27087281000000002</v>
      </c>
      <c r="H40">
        <v>0.99501143000000003</v>
      </c>
      <c r="I40">
        <v>0</v>
      </c>
      <c r="J40">
        <v>5.7199</v>
      </c>
      <c r="K40" s="8" t="s">
        <v>167</v>
      </c>
      <c r="L40" s="8" t="s">
        <v>168</v>
      </c>
      <c r="M40">
        <v>0</v>
      </c>
      <c r="N40">
        <v>0</v>
      </c>
      <c r="O40">
        <v>0.72912719000000004</v>
      </c>
      <c r="P40" s="8">
        <v>-7.0291580000000006E-2</v>
      </c>
      <c r="Q40">
        <v>3.6716199999999997E-2</v>
      </c>
      <c r="R40">
        <v>-2.9520000000000002E-4</v>
      </c>
      <c r="S40">
        <v>2</v>
      </c>
      <c r="T40">
        <v>0</v>
      </c>
      <c r="U40">
        <v>2</v>
      </c>
      <c r="V40">
        <v>-3.082466E-2</v>
      </c>
      <c r="W40">
        <v>-3.8031910000000002E-2</v>
      </c>
      <c r="X40">
        <v>0</v>
      </c>
      <c r="Y40" s="8" t="s">
        <v>169</v>
      </c>
      <c r="Z40" s="8" t="s">
        <v>170</v>
      </c>
      <c r="AA40" s="8" t="s">
        <v>171</v>
      </c>
    </row>
    <row r="41" spans="1:27" x14ac:dyDescent="0.25">
      <c r="A41">
        <v>0</v>
      </c>
      <c r="B41">
        <v>0.2</v>
      </c>
      <c r="C41">
        <v>40</v>
      </c>
      <c r="D41">
        <v>0.17499999999999999</v>
      </c>
      <c r="E41">
        <v>-0.15010000000000001</v>
      </c>
      <c r="F41">
        <v>0.18769948</v>
      </c>
      <c r="G41">
        <v>0.23055031000000001</v>
      </c>
      <c r="H41">
        <v>0.99501143000000003</v>
      </c>
      <c r="I41">
        <v>0</v>
      </c>
      <c r="J41">
        <v>5.5739999999999998</v>
      </c>
      <c r="K41" s="8" t="s">
        <v>172</v>
      </c>
      <c r="L41" s="8" t="s">
        <v>173</v>
      </c>
      <c r="M41">
        <v>0</v>
      </c>
      <c r="N41">
        <v>0</v>
      </c>
      <c r="O41">
        <v>0.76944968999999996</v>
      </c>
      <c r="P41" s="8">
        <v>-7.056859E-2</v>
      </c>
      <c r="Q41">
        <v>3.6854709999999999E-2</v>
      </c>
      <c r="R41">
        <v>-1.3851E-4</v>
      </c>
      <c r="S41">
        <v>2</v>
      </c>
      <c r="T41">
        <v>0</v>
      </c>
      <c r="U41">
        <v>2</v>
      </c>
      <c r="V41">
        <v>-3.0425629999999999E-2</v>
      </c>
      <c r="W41">
        <v>-3.8587330000000003E-2</v>
      </c>
      <c r="X41">
        <v>0</v>
      </c>
      <c r="Y41" s="8" t="s">
        <v>174</v>
      </c>
      <c r="Z41" s="8" t="s">
        <v>175</v>
      </c>
      <c r="AA41" s="8" t="s">
        <v>176</v>
      </c>
    </row>
    <row r="42" spans="1:27" x14ac:dyDescent="0.25">
      <c r="A42">
        <v>0</v>
      </c>
      <c r="B42">
        <v>0.20499999999999999</v>
      </c>
      <c r="C42">
        <v>41</v>
      </c>
      <c r="D42">
        <v>0.1211</v>
      </c>
      <c r="E42">
        <v>-0.155</v>
      </c>
      <c r="F42">
        <v>0.18762196</v>
      </c>
      <c r="G42">
        <v>0.1967354</v>
      </c>
      <c r="H42">
        <v>0.99501143000000003</v>
      </c>
      <c r="I42">
        <v>0</v>
      </c>
      <c r="J42">
        <v>5.3754999999999997</v>
      </c>
      <c r="K42" s="8" t="s">
        <v>177</v>
      </c>
      <c r="L42" s="8" t="s">
        <v>178</v>
      </c>
      <c r="M42">
        <v>0</v>
      </c>
      <c r="N42">
        <v>0</v>
      </c>
      <c r="O42">
        <v>0.8032646</v>
      </c>
      <c r="P42" s="8">
        <v>-7.0538149999999994E-2</v>
      </c>
      <c r="Q42">
        <v>3.6839490000000003E-2</v>
      </c>
      <c r="R42">
        <v>1.522E-5</v>
      </c>
      <c r="S42">
        <v>2</v>
      </c>
      <c r="T42">
        <v>0</v>
      </c>
      <c r="U42">
        <v>2</v>
      </c>
      <c r="V42">
        <v>-2.9913809999999999E-2</v>
      </c>
      <c r="W42">
        <v>-3.8959859999999999E-2</v>
      </c>
      <c r="X42">
        <v>0</v>
      </c>
      <c r="Y42" s="8" t="s">
        <v>179</v>
      </c>
      <c r="Z42" s="8" t="s">
        <v>180</v>
      </c>
      <c r="AA42" s="8" t="s">
        <v>181</v>
      </c>
    </row>
    <row r="43" spans="1:27" x14ac:dyDescent="0.25">
      <c r="A43">
        <v>0</v>
      </c>
      <c r="B43">
        <v>0.21</v>
      </c>
      <c r="C43">
        <v>42</v>
      </c>
      <c r="D43">
        <v>6.7599999999999993E-2</v>
      </c>
      <c r="E43">
        <v>-0.1593</v>
      </c>
      <c r="F43">
        <v>0.18678248</v>
      </c>
      <c r="G43">
        <v>0.17308307000000001</v>
      </c>
      <c r="H43">
        <v>0.99501143000000003</v>
      </c>
      <c r="I43">
        <v>0</v>
      </c>
      <c r="J43">
        <v>5.1136999999999997</v>
      </c>
      <c r="K43" s="8" t="s">
        <v>182</v>
      </c>
      <c r="L43" s="8" t="s">
        <v>183</v>
      </c>
      <c r="M43">
        <v>0</v>
      </c>
      <c r="N43">
        <v>0</v>
      </c>
      <c r="O43">
        <v>0.82691692999999999</v>
      </c>
      <c r="P43" s="8">
        <v>-7.0208489999999998E-2</v>
      </c>
      <c r="Q43">
        <v>3.6674659999999998E-2</v>
      </c>
      <c r="R43">
        <v>1.6483000000000001E-4</v>
      </c>
      <c r="S43">
        <v>2</v>
      </c>
      <c r="T43">
        <v>0</v>
      </c>
      <c r="U43">
        <v>2</v>
      </c>
      <c r="V43">
        <v>-2.9300969999999999E-2</v>
      </c>
      <c r="W43">
        <v>-3.9148670000000003E-2</v>
      </c>
      <c r="X43">
        <v>0</v>
      </c>
      <c r="Y43" s="8" t="s">
        <v>184</v>
      </c>
      <c r="Z43" s="8" t="s">
        <v>185</v>
      </c>
      <c r="AA43" s="8" t="s">
        <v>186</v>
      </c>
    </row>
    <row r="44" spans="1:27" x14ac:dyDescent="0.25">
      <c r="A44">
        <v>0</v>
      </c>
      <c r="B44">
        <v>0.215</v>
      </c>
      <c r="C44">
        <v>43</v>
      </c>
      <c r="D44">
        <v>1.47E-2</v>
      </c>
      <c r="E44">
        <v>-0.16289999999999999</v>
      </c>
      <c r="F44">
        <v>0.18520726000000001</v>
      </c>
      <c r="G44">
        <v>0.16358559</v>
      </c>
      <c r="H44">
        <v>0.99501143000000003</v>
      </c>
      <c r="I44">
        <v>0</v>
      </c>
      <c r="J44">
        <v>4.8022999999999998</v>
      </c>
      <c r="K44" s="8" t="s">
        <v>187</v>
      </c>
      <c r="L44" s="8" t="s">
        <v>188</v>
      </c>
      <c r="M44">
        <v>0</v>
      </c>
      <c r="N44">
        <v>0</v>
      </c>
      <c r="O44">
        <v>0.83641441000000005</v>
      </c>
      <c r="P44" s="8">
        <v>-6.9589899999999996E-2</v>
      </c>
      <c r="Q44">
        <v>3.6365359999999999E-2</v>
      </c>
      <c r="R44">
        <v>3.0928999999999999E-4</v>
      </c>
      <c r="S44">
        <v>2</v>
      </c>
      <c r="T44">
        <v>0</v>
      </c>
      <c r="U44">
        <v>2</v>
      </c>
      <c r="V44">
        <v>-2.8598729999999999E-2</v>
      </c>
      <c r="W44">
        <v>-3.915503E-2</v>
      </c>
      <c r="X44">
        <v>0</v>
      </c>
      <c r="Y44" s="8" t="s">
        <v>189</v>
      </c>
      <c r="Z44" s="8" t="s">
        <v>190</v>
      </c>
      <c r="AA44" s="8" t="s">
        <v>191</v>
      </c>
    </row>
    <row r="45" spans="1:27" x14ac:dyDescent="0.25">
      <c r="A45">
        <v>0</v>
      </c>
      <c r="B45">
        <v>0.22</v>
      </c>
      <c r="C45">
        <v>44</v>
      </c>
      <c r="D45">
        <v>-3.7499999999999999E-2</v>
      </c>
      <c r="E45">
        <v>-0.1658</v>
      </c>
      <c r="F45">
        <v>0.18292711</v>
      </c>
      <c r="G45">
        <v>0.16996706</v>
      </c>
      <c r="H45">
        <v>0.99501143000000003</v>
      </c>
      <c r="I45">
        <v>0</v>
      </c>
      <c r="J45">
        <v>4.4898999999999996</v>
      </c>
      <c r="K45" s="8" t="s">
        <v>192</v>
      </c>
      <c r="L45" s="8" t="s">
        <v>193</v>
      </c>
      <c r="M45">
        <v>0</v>
      </c>
      <c r="N45">
        <v>0</v>
      </c>
      <c r="O45">
        <v>0.83003294000000005</v>
      </c>
      <c r="P45" s="8">
        <v>-6.8694489999999997E-2</v>
      </c>
      <c r="Q45">
        <v>3.5917650000000002E-2</v>
      </c>
      <c r="R45">
        <v>4.4770999999999998E-4</v>
      </c>
      <c r="S45">
        <v>2</v>
      </c>
      <c r="T45">
        <v>0</v>
      </c>
      <c r="U45">
        <v>2</v>
      </c>
      <c r="V45">
        <v>-2.7818369999999999E-2</v>
      </c>
      <c r="W45">
        <v>-3.8982169999999997E-2</v>
      </c>
      <c r="X45">
        <v>0</v>
      </c>
      <c r="Y45" s="8" t="s">
        <v>194</v>
      </c>
      <c r="Z45" s="8" t="s">
        <v>195</v>
      </c>
      <c r="AA45" s="8" t="s">
        <v>196</v>
      </c>
    </row>
    <row r="46" spans="1:27" x14ac:dyDescent="0.25">
      <c r="A46">
        <v>0</v>
      </c>
      <c r="B46">
        <v>0.22500000000000001</v>
      </c>
      <c r="C46">
        <v>45</v>
      </c>
      <c r="D46">
        <v>-8.8800000000000004E-2</v>
      </c>
      <c r="E46">
        <v>-0.1678</v>
      </c>
      <c r="F46">
        <v>0.17997682000000001</v>
      </c>
      <c r="G46">
        <v>0.18989629</v>
      </c>
      <c r="H46">
        <v>0.99501143000000003</v>
      </c>
      <c r="I46">
        <v>0</v>
      </c>
      <c r="J46">
        <v>4.2256</v>
      </c>
      <c r="K46" s="8" t="s">
        <v>197</v>
      </c>
      <c r="L46" s="8" t="s">
        <v>198</v>
      </c>
      <c r="M46">
        <v>0</v>
      </c>
      <c r="N46">
        <v>0</v>
      </c>
      <c r="O46">
        <v>0.81010371000000003</v>
      </c>
      <c r="P46" s="8">
        <v>-6.7535910000000005E-2</v>
      </c>
      <c r="Q46">
        <v>3.5338370000000001E-2</v>
      </c>
      <c r="R46">
        <v>5.7928999999999999E-4</v>
      </c>
      <c r="S46">
        <v>2</v>
      </c>
      <c r="T46">
        <v>0</v>
      </c>
      <c r="U46">
        <v>2</v>
      </c>
      <c r="V46">
        <v>-2.6970620000000001E-2</v>
      </c>
      <c r="W46">
        <v>-3.863515E-2</v>
      </c>
      <c r="X46">
        <v>0</v>
      </c>
      <c r="Y46" s="8" t="s">
        <v>199</v>
      </c>
      <c r="Z46" s="8" t="s">
        <v>200</v>
      </c>
      <c r="AA46" s="8" t="s">
        <v>201</v>
      </c>
    </row>
    <row r="47" spans="1:27" x14ac:dyDescent="0.25">
      <c r="A47">
        <v>0</v>
      </c>
      <c r="B47">
        <v>0.23</v>
      </c>
      <c r="C47">
        <v>46</v>
      </c>
      <c r="D47">
        <v>-0.1391</v>
      </c>
      <c r="E47">
        <v>-0.1691</v>
      </c>
      <c r="F47">
        <v>0.17639458</v>
      </c>
      <c r="G47">
        <v>0.21896450000000001</v>
      </c>
      <c r="H47">
        <v>0.99501143000000003</v>
      </c>
      <c r="I47">
        <v>0</v>
      </c>
      <c r="J47">
        <v>4.0239000000000003</v>
      </c>
      <c r="K47" s="8" t="s">
        <v>202</v>
      </c>
      <c r="L47" s="8" t="s">
        <v>203</v>
      </c>
      <c r="M47">
        <v>0</v>
      </c>
      <c r="N47">
        <v>0</v>
      </c>
      <c r="O47">
        <v>0.78103549999999999</v>
      </c>
      <c r="P47" s="8">
        <v>-6.6129170000000001E-2</v>
      </c>
      <c r="Q47">
        <v>3.4634989999999997E-2</v>
      </c>
      <c r="R47">
        <v>7.0337000000000004E-4</v>
      </c>
      <c r="S47">
        <v>2</v>
      </c>
      <c r="T47">
        <v>0</v>
      </c>
      <c r="U47">
        <v>2</v>
      </c>
      <c r="V47">
        <v>-2.606553E-2</v>
      </c>
      <c r="W47">
        <v>-3.8120599999999998E-2</v>
      </c>
      <c r="X47">
        <v>0</v>
      </c>
      <c r="Y47" s="8" t="s">
        <v>204</v>
      </c>
      <c r="Z47" s="8" t="s">
        <v>205</v>
      </c>
      <c r="AA47" s="8" t="s">
        <v>206</v>
      </c>
    </row>
    <row r="48" spans="1:27" x14ac:dyDescent="0.25">
      <c r="A48">
        <v>0</v>
      </c>
      <c r="B48">
        <v>0.23499999999999999</v>
      </c>
      <c r="C48">
        <v>47</v>
      </c>
      <c r="D48">
        <v>-0.1883</v>
      </c>
      <c r="E48">
        <v>-0.16950000000000001</v>
      </c>
      <c r="F48">
        <v>0.17222135999999999</v>
      </c>
      <c r="G48">
        <v>0.25333175000000002</v>
      </c>
      <c r="H48">
        <v>0.99501143000000003</v>
      </c>
      <c r="I48">
        <v>0</v>
      </c>
      <c r="J48">
        <v>3.8744000000000001</v>
      </c>
      <c r="K48" s="8" t="s">
        <v>207</v>
      </c>
      <c r="L48" s="8" t="s">
        <v>208</v>
      </c>
      <c r="M48">
        <v>0</v>
      </c>
      <c r="N48">
        <v>0</v>
      </c>
      <c r="O48">
        <v>0.74666825000000003</v>
      </c>
      <c r="P48" s="8">
        <v>-6.4490350000000002E-2</v>
      </c>
      <c r="Q48">
        <v>3.381559E-2</v>
      </c>
      <c r="R48">
        <v>8.1941000000000002E-4</v>
      </c>
      <c r="S48">
        <v>2</v>
      </c>
      <c r="T48">
        <v>0</v>
      </c>
      <c r="U48">
        <v>2</v>
      </c>
      <c r="V48">
        <v>-2.5112369999999998E-2</v>
      </c>
      <c r="W48">
        <v>-3.7446590000000002E-2</v>
      </c>
      <c r="X48">
        <v>0</v>
      </c>
      <c r="Y48" s="8" t="s">
        <v>209</v>
      </c>
      <c r="Z48" s="8" t="s">
        <v>210</v>
      </c>
      <c r="AA48" s="8" t="s">
        <v>211</v>
      </c>
    </row>
    <row r="49" spans="1:27" x14ac:dyDescent="0.25">
      <c r="A49">
        <v>0</v>
      </c>
      <c r="B49">
        <v>0.24</v>
      </c>
      <c r="C49">
        <v>48</v>
      </c>
      <c r="D49">
        <v>-0.23619999999999999</v>
      </c>
      <c r="E49">
        <v>-0.16900000000000001</v>
      </c>
      <c r="F49">
        <v>0.16750045999999999</v>
      </c>
      <c r="G49">
        <v>0.29045281000000001</v>
      </c>
      <c r="H49">
        <v>0.99501143000000003</v>
      </c>
      <c r="I49">
        <v>0</v>
      </c>
      <c r="J49">
        <v>3.7625999999999999</v>
      </c>
      <c r="K49" s="8" t="s">
        <v>212</v>
      </c>
      <c r="L49" s="8" t="s">
        <v>213</v>
      </c>
      <c r="M49">
        <v>0</v>
      </c>
      <c r="N49">
        <v>0</v>
      </c>
      <c r="O49">
        <v>0.70954718999999999</v>
      </c>
      <c r="P49" s="8">
        <v>-6.2636460000000005E-2</v>
      </c>
      <c r="Q49">
        <v>3.2888639999999997E-2</v>
      </c>
      <c r="R49">
        <v>9.2694999999999995E-4</v>
      </c>
      <c r="S49">
        <v>2</v>
      </c>
      <c r="T49">
        <v>0</v>
      </c>
      <c r="U49">
        <v>2</v>
      </c>
      <c r="V49">
        <v>-2.411963E-2</v>
      </c>
      <c r="W49">
        <v>-3.6622380000000003E-2</v>
      </c>
      <c r="X49">
        <v>0</v>
      </c>
      <c r="Y49" s="8" t="s">
        <v>214</v>
      </c>
      <c r="Z49" s="8" t="s">
        <v>215</v>
      </c>
      <c r="AA49" s="8" t="s">
        <v>216</v>
      </c>
    </row>
    <row r="50" spans="1:27" x14ac:dyDescent="0.25">
      <c r="A50">
        <v>0</v>
      </c>
      <c r="B50">
        <v>0.245</v>
      </c>
      <c r="C50">
        <v>49</v>
      </c>
      <c r="D50">
        <v>-0.2828</v>
      </c>
      <c r="E50">
        <v>-0.1676</v>
      </c>
      <c r="F50">
        <v>0.1622769</v>
      </c>
      <c r="G50">
        <v>0.32877623</v>
      </c>
      <c r="H50">
        <v>0.99501143000000003</v>
      </c>
      <c r="I50">
        <v>0</v>
      </c>
      <c r="J50">
        <v>3.6766000000000001</v>
      </c>
      <c r="K50" s="8" t="s">
        <v>217</v>
      </c>
      <c r="L50" s="8" t="s">
        <v>218</v>
      </c>
      <c r="M50">
        <v>0</v>
      </c>
      <c r="N50">
        <v>0</v>
      </c>
      <c r="O50">
        <v>0.67122377</v>
      </c>
      <c r="P50" s="8">
        <v>-6.0585170000000001E-2</v>
      </c>
      <c r="Q50">
        <v>3.1863000000000002E-2</v>
      </c>
      <c r="R50">
        <v>1.02564E-3</v>
      </c>
      <c r="S50">
        <v>2</v>
      </c>
      <c r="T50">
        <v>0</v>
      </c>
      <c r="U50">
        <v>2</v>
      </c>
      <c r="V50">
        <v>-2.3094980000000001E-2</v>
      </c>
      <c r="W50">
        <v>-3.5658259999999997E-2</v>
      </c>
      <c r="X50">
        <v>0</v>
      </c>
      <c r="Y50" s="8" t="s">
        <v>219</v>
      </c>
      <c r="Z50" s="8" t="s">
        <v>220</v>
      </c>
      <c r="AA50" s="8" t="s">
        <v>221</v>
      </c>
    </row>
    <row r="51" spans="1:27" x14ac:dyDescent="0.25">
      <c r="A51">
        <v>0</v>
      </c>
      <c r="B51">
        <v>0.25</v>
      </c>
      <c r="C51">
        <v>50</v>
      </c>
      <c r="D51">
        <v>-0.32800000000000001</v>
      </c>
      <c r="E51">
        <v>-0.16539999999999999</v>
      </c>
      <c r="F51">
        <v>0.15659708</v>
      </c>
      <c r="G51">
        <v>0.36735759000000001</v>
      </c>
      <c r="H51">
        <v>0.99501143000000003</v>
      </c>
      <c r="I51">
        <v>0</v>
      </c>
      <c r="J51">
        <v>3.6086</v>
      </c>
      <c r="K51" s="8" t="s">
        <v>222</v>
      </c>
      <c r="L51" s="8" t="s">
        <v>223</v>
      </c>
      <c r="M51">
        <v>0</v>
      </c>
      <c r="N51">
        <v>0</v>
      </c>
      <c r="O51">
        <v>0.63264240999999999</v>
      </c>
      <c r="P51" s="8">
        <v>-5.8354709999999997E-2</v>
      </c>
      <c r="Q51">
        <v>3.0747759999999999E-2</v>
      </c>
      <c r="R51">
        <v>1.11523E-3</v>
      </c>
      <c r="S51">
        <v>2</v>
      </c>
      <c r="T51">
        <v>0</v>
      </c>
      <c r="U51">
        <v>2</v>
      </c>
      <c r="V51">
        <v>-2.2045309999999999E-2</v>
      </c>
      <c r="W51">
        <v>-3.45653E-2</v>
      </c>
      <c r="X51">
        <v>0</v>
      </c>
      <c r="Y51" s="8" t="s">
        <v>224</v>
      </c>
      <c r="Z51" s="8" t="s">
        <v>225</v>
      </c>
      <c r="AA51" s="8" t="s">
        <v>226</v>
      </c>
    </row>
    <row r="52" spans="1:27" x14ac:dyDescent="0.25">
      <c r="A52">
        <v>0</v>
      </c>
      <c r="B52">
        <v>0.255</v>
      </c>
      <c r="C52">
        <v>51</v>
      </c>
      <c r="D52">
        <v>-0.37169999999999997</v>
      </c>
      <c r="E52">
        <v>-0.1623</v>
      </c>
      <c r="F52">
        <v>0.15050827999999999</v>
      </c>
      <c r="G52">
        <v>0.40560496000000001</v>
      </c>
      <c r="H52">
        <v>0.99501143000000003</v>
      </c>
      <c r="I52">
        <v>0</v>
      </c>
      <c r="J52">
        <v>3.5531000000000001</v>
      </c>
      <c r="K52" s="8" t="s">
        <v>227</v>
      </c>
      <c r="L52" s="8" t="s">
        <v>228</v>
      </c>
      <c r="M52">
        <v>0</v>
      </c>
      <c r="N52">
        <v>0</v>
      </c>
      <c r="O52">
        <v>0.59439503999999999</v>
      </c>
      <c r="P52" s="8">
        <v>-5.5963640000000002E-2</v>
      </c>
      <c r="Q52">
        <v>2.9552229999999999E-2</v>
      </c>
      <c r="R52">
        <v>1.19553E-3</v>
      </c>
      <c r="S52">
        <v>2</v>
      </c>
      <c r="T52">
        <v>0</v>
      </c>
      <c r="U52">
        <v>2</v>
      </c>
      <c r="V52">
        <v>-2.0976760000000001E-2</v>
      </c>
      <c r="W52">
        <v>-3.3355210000000003E-2</v>
      </c>
      <c r="X52">
        <v>0</v>
      </c>
      <c r="Y52" s="8" t="s">
        <v>229</v>
      </c>
      <c r="Z52" s="8" t="s">
        <v>230</v>
      </c>
      <c r="AA52" s="8" t="s">
        <v>231</v>
      </c>
    </row>
    <row r="53" spans="1:27" x14ac:dyDescent="0.25">
      <c r="A53">
        <v>0</v>
      </c>
      <c r="B53">
        <v>0.26</v>
      </c>
      <c r="C53">
        <v>52</v>
      </c>
      <c r="D53">
        <v>-0.41389999999999999</v>
      </c>
      <c r="E53">
        <v>-0.1583</v>
      </c>
      <c r="F53">
        <v>0.14405834000000001</v>
      </c>
      <c r="G53">
        <v>0.44313340000000001</v>
      </c>
      <c r="H53">
        <v>0.99501143000000003</v>
      </c>
      <c r="I53">
        <v>0</v>
      </c>
      <c r="J53">
        <v>3.5068000000000001</v>
      </c>
      <c r="K53" s="8" t="s">
        <v>232</v>
      </c>
      <c r="L53" s="8" t="s">
        <v>233</v>
      </c>
      <c r="M53">
        <v>0</v>
      </c>
      <c r="N53">
        <v>0</v>
      </c>
      <c r="O53">
        <v>0.55686659999999999</v>
      </c>
      <c r="P53" s="8">
        <v>-5.3430760000000001E-2</v>
      </c>
      <c r="Q53">
        <v>2.8285790000000002E-2</v>
      </c>
      <c r="R53">
        <v>1.26644E-3</v>
      </c>
      <c r="S53">
        <v>2</v>
      </c>
      <c r="T53">
        <v>0</v>
      </c>
      <c r="U53">
        <v>2</v>
      </c>
      <c r="V53">
        <v>-1.9894820000000001E-2</v>
      </c>
      <c r="W53">
        <v>-3.2040140000000002E-2</v>
      </c>
      <c r="X53">
        <v>0</v>
      </c>
      <c r="Y53" s="8" t="s">
        <v>234</v>
      </c>
      <c r="Z53" s="8" t="s">
        <v>235</v>
      </c>
      <c r="AA53" s="8" t="s">
        <v>236</v>
      </c>
    </row>
    <row r="54" spans="1:27" x14ac:dyDescent="0.25">
      <c r="A54">
        <v>0</v>
      </c>
      <c r="B54">
        <v>0.26500000000000001</v>
      </c>
      <c r="C54">
        <v>53</v>
      </c>
      <c r="D54">
        <v>-0.45450000000000002</v>
      </c>
      <c r="E54">
        <v>-0.15340000000000001</v>
      </c>
      <c r="F54">
        <v>0.13729532</v>
      </c>
      <c r="G54">
        <v>0.47968354000000002</v>
      </c>
      <c r="H54">
        <v>0.99501143000000003</v>
      </c>
      <c r="I54">
        <v>0</v>
      </c>
      <c r="J54">
        <v>3.4672000000000001</v>
      </c>
      <c r="K54" s="8" t="s">
        <v>237</v>
      </c>
      <c r="L54" s="8" t="s">
        <v>238</v>
      </c>
      <c r="M54">
        <v>0</v>
      </c>
      <c r="N54">
        <v>0</v>
      </c>
      <c r="O54">
        <v>0.52031645999999998</v>
      </c>
      <c r="P54" s="8">
        <v>-5.0774920000000001E-2</v>
      </c>
      <c r="Q54">
        <v>2.6957869999999998E-2</v>
      </c>
      <c r="R54">
        <v>1.32792E-3</v>
      </c>
      <c r="S54">
        <v>2</v>
      </c>
      <c r="T54">
        <v>0</v>
      </c>
      <c r="U54">
        <v>2</v>
      </c>
      <c r="V54">
        <v>-1.8804399999999999E-2</v>
      </c>
      <c r="W54">
        <v>-3.063256E-2</v>
      </c>
      <c r="X54">
        <v>0</v>
      </c>
      <c r="Y54" s="8" t="s">
        <v>239</v>
      </c>
      <c r="Z54" s="8" t="s">
        <v>240</v>
      </c>
      <c r="AA54" s="8" t="s">
        <v>241</v>
      </c>
    </row>
    <row r="55" spans="1:27" x14ac:dyDescent="0.25">
      <c r="A55">
        <v>0</v>
      </c>
      <c r="B55">
        <v>0.27</v>
      </c>
      <c r="C55">
        <v>54</v>
      </c>
      <c r="D55">
        <v>-0.49340000000000001</v>
      </c>
      <c r="E55">
        <v>-0.14779999999999999</v>
      </c>
      <c r="F55">
        <v>0.1302672</v>
      </c>
      <c r="G55">
        <v>0.51507510999999995</v>
      </c>
      <c r="H55">
        <v>0.99501143000000003</v>
      </c>
      <c r="I55">
        <v>0</v>
      </c>
      <c r="J55">
        <v>3.4325999999999999</v>
      </c>
      <c r="K55" s="8" t="s">
        <v>242</v>
      </c>
      <c r="L55" s="8" t="s">
        <v>243</v>
      </c>
      <c r="M55">
        <v>0</v>
      </c>
      <c r="N55">
        <v>0</v>
      </c>
      <c r="O55">
        <v>0.48492489</v>
      </c>
      <c r="P55" s="8">
        <v>-4.801499E-2</v>
      </c>
      <c r="Q55">
        <v>2.5577909999999999E-2</v>
      </c>
      <c r="R55">
        <v>1.3799699999999999E-3</v>
      </c>
      <c r="S55">
        <v>2</v>
      </c>
      <c r="T55">
        <v>0</v>
      </c>
      <c r="U55">
        <v>2</v>
      </c>
      <c r="V55">
        <v>-1.7709880000000001E-2</v>
      </c>
      <c r="W55">
        <v>-2.914506E-2</v>
      </c>
      <c r="X55">
        <v>0</v>
      </c>
      <c r="Y55" s="8" t="s">
        <v>244</v>
      </c>
      <c r="Z55" s="8" t="s">
        <v>245</v>
      </c>
      <c r="AA55" s="8" t="s">
        <v>246</v>
      </c>
    </row>
    <row r="56" spans="1:27" x14ac:dyDescent="0.25">
      <c r="A56">
        <v>0</v>
      </c>
      <c r="B56">
        <v>0.27500000000000002</v>
      </c>
      <c r="C56">
        <v>55</v>
      </c>
      <c r="D56">
        <v>-0.53069999999999995</v>
      </c>
      <c r="E56">
        <v>-0.1414</v>
      </c>
      <c r="F56">
        <v>0.12302166</v>
      </c>
      <c r="G56">
        <v>0.54917956999999995</v>
      </c>
      <c r="H56">
        <v>0.99501143000000003</v>
      </c>
      <c r="I56">
        <v>0</v>
      </c>
      <c r="J56">
        <v>3.4020000000000001</v>
      </c>
      <c r="K56" s="8" t="s">
        <v>247</v>
      </c>
      <c r="L56" s="8" t="s">
        <v>248</v>
      </c>
      <c r="M56">
        <v>0</v>
      </c>
      <c r="N56">
        <v>0</v>
      </c>
      <c r="O56">
        <v>0.45082042999999999</v>
      </c>
      <c r="P56" s="8">
        <v>-4.5169670000000002E-2</v>
      </c>
      <c r="Q56">
        <v>2.415525E-2</v>
      </c>
      <c r="R56">
        <v>1.4226600000000001E-3</v>
      </c>
      <c r="S56">
        <v>2</v>
      </c>
      <c r="T56">
        <v>0</v>
      </c>
      <c r="U56">
        <v>2</v>
      </c>
      <c r="V56">
        <v>-1.6615230000000002E-2</v>
      </c>
      <c r="W56">
        <v>-2.7590300000000002E-2</v>
      </c>
      <c r="X56">
        <v>0</v>
      </c>
      <c r="Y56" s="8" t="s">
        <v>249</v>
      </c>
      <c r="Z56" s="8" t="s">
        <v>250</v>
      </c>
      <c r="AA56" s="8" t="s">
        <v>251</v>
      </c>
    </row>
    <row r="57" spans="1:27" x14ac:dyDescent="0.25">
      <c r="A57">
        <v>0</v>
      </c>
      <c r="B57">
        <v>0.28000000000000003</v>
      </c>
      <c r="C57">
        <v>56</v>
      </c>
      <c r="D57">
        <v>-0.56620000000000004</v>
      </c>
      <c r="E57">
        <v>-0.1343</v>
      </c>
      <c r="F57">
        <v>0.11560579999999999</v>
      </c>
      <c r="G57">
        <v>0.58190343</v>
      </c>
      <c r="H57">
        <v>0.99501143000000003</v>
      </c>
      <c r="I57">
        <v>0</v>
      </c>
      <c r="J57">
        <v>3.3744999999999998</v>
      </c>
      <c r="K57" s="8" t="s">
        <v>252</v>
      </c>
      <c r="L57" s="8" t="s">
        <v>253</v>
      </c>
      <c r="M57">
        <v>0</v>
      </c>
      <c r="N57">
        <v>0</v>
      </c>
      <c r="O57">
        <v>0.41809657</v>
      </c>
      <c r="P57" s="8">
        <v>-4.2257469999999998E-2</v>
      </c>
      <c r="Q57">
        <v>2.2699150000000001E-2</v>
      </c>
      <c r="R57">
        <v>1.4561000000000001E-3</v>
      </c>
      <c r="S57">
        <v>2</v>
      </c>
      <c r="T57">
        <v>0</v>
      </c>
      <c r="U57">
        <v>2</v>
      </c>
      <c r="V57">
        <v>-1.5524090000000001E-2</v>
      </c>
      <c r="W57">
        <v>-2.5980860000000001E-2</v>
      </c>
      <c r="X57">
        <v>0</v>
      </c>
      <c r="Y57" s="8" t="s">
        <v>254</v>
      </c>
      <c r="Z57" s="8" t="s">
        <v>255</v>
      </c>
      <c r="AA57" s="8" t="s">
        <v>256</v>
      </c>
    </row>
    <row r="58" spans="1:27" x14ac:dyDescent="0.25">
      <c r="A58">
        <v>0</v>
      </c>
      <c r="B58">
        <v>0.28499999999999998</v>
      </c>
      <c r="C58">
        <v>57</v>
      </c>
      <c r="D58">
        <v>-0.6</v>
      </c>
      <c r="E58">
        <v>-0.1265</v>
      </c>
      <c r="F58">
        <v>0.10806602999999999</v>
      </c>
      <c r="G58">
        <v>0.61317765999999996</v>
      </c>
      <c r="H58">
        <v>0.99501143000000003</v>
      </c>
      <c r="I58">
        <v>0</v>
      </c>
      <c r="J58">
        <v>3.3494000000000002</v>
      </c>
      <c r="K58" s="8" t="s">
        <v>257</v>
      </c>
      <c r="L58" s="8" t="s">
        <v>258</v>
      </c>
      <c r="M58">
        <v>0</v>
      </c>
      <c r="N58">
        <v>0</v>
      </c>
      <c r="O58">
        <v>0.38682233999999999</v>
      </c>
      <c r="P58" s="8">
        <v>-3.9296610000000003E-2</v>
      </c>
      <c r="Q58">
        <v>2.1218710000000002E-2</v>
      </c>
      <c r="R58">
        <v>1.48043E-3</v>
      </c>
      <c r="S58">
        <v>2</v>
      </c>
      <c r="T58">
        <v>0</v>
      </c>
      <c r="U58">
        <v>2</v>
      </c>
      <c r="V58">
        <v>-1.4439820000000001E-2</v>
      </c>
      <c r="W58">
        <v>-2.4329139999999999E-2</v>
      </c>
      <c r="X58">
        <v>0</v>
      </c>
      <c r="Y58" s="8" t="s">
        <v>259</v>
      </c>
      <c r="Z58" s="8" t="s">
        <v>260</v>
      </c>
      <c r="AA58" s="8" t="s">
        <v>261</v>
      </c>
    </row>
    <row r="59" spans="1:27" x14ac:dyDescent="0.25">
      <c r="A59">
        <v>0</v>
      </c>
      <c r="B59">
        <v>0.28999999999999998</v>
      </c>
      <c r="C59">
        <v>58</v>
      </c>
      <c r="D59">
        <v>-0.63200000000000001</v>
      </c>
      <c r="E59">
        <v>-0.1181</v>
      </c>
      <c r="F59">
        <v>0.10044788</v>
      </c>
      <c r="G59">
        <v>0.64295080999999998</v>
      </c>
      <c r="H59">
        <v>0.99501143000000003</v>
      </c>
      <c r="I59">
        <v>0</v>
      </c>
      <c r="J59">
        <v>3.3264</v>
      </c>
      <c r="K59" s="8" t="s">
        <v>262</v>
      </c>
      <c r="L59" s="8" t="s">
        <v>263</v>
      </c>
      <c r="M59">
        <v>0</v>
      </c>
      <c r="N59">
        <v>0</v>
      </c>
      <c r="O59">
        <v>0.35704919000000002</v>
      </c>
      <c r="P59" s="8">
        <v>-3.6304969999999999E-2</v>
      </c>
      <c r="Q59">
        <v>1.9722900000000002E-2</v>
      </c>
      <c r="R59">
        <v>1.4958199999999999E-3</v>
      </c>
      <c r="S59">
        <v>2</v>
      </c>
      <c r="T59">
        <v>0</v>
      </c>
      <c r="U59">
        <v>2</v>
      </c>
      <c r="V59">
        <v>-1.336563E-2</v>
      </c>
      <c r="W59">
        <v>-2.264735E-2</v>
      </c>
      <c r="X59">
        <v>0</v>
      </c>
      <c r="Y59" s="8" t="s">
        <v>264</v>
      </c>
      <c r="Z59" s="8" t="s">
        <v>265</v>
      </c>
      <c r="AA59" s="8" t="s">
        <v>266</v>
      </c>
    </row>
    <row r="60" spans="1:27" x14ac:dyDescent="0.25">
      <c r="A60">
        <v>0</v>
      </c>
      <c r="B60">
        <v>0.29499999999999998</v>
      </c>
      <c r="C60">
        <v>59</v>
      </c>
      <c r="D60">
        <v>-0.66220000000000001</v>
      </c>
      <c r="E60">
        <v>-0.10920000000000001</v>
      </c>
      <c r="F60">
        <v>9.2795909999999995E-2</v>
      </c>
      <c r="G60">
        <v>0.67118454999999999</v>
      </c>
      <c r="H60">
        <v>0.99501143000000003</v>
      </c>
      <c r="I60">
        <v>0</v>
      </c>
      <c r="J60">
        <v>3.3050999999999999</v>
      </c>
      <c r="K60" s="8" t="s">
        <v>267</v>
      </c>
      <c r="L60" s="8" t="s">
        <v>268</v>
      </c>
      <c r="M60">
        <v>0</v>
      </c>
      <c r="N60">
        <v>0</v>
      </c>
      <c r="O60">
        <v>0.32881545000000001</v>
      </c>
      <c r="P60" s="8">
        <v>-3.3300049999999998E-2</v>
      </c>
      <c r="Q60">
        <v>1.8220429999999999E-2</v>
      </c>
      <c r="R60">
        <v>1.50246E-3</v>
      </c>
      <c r="S60">
        <v>2</v>
      </c>
      <c r="T60">
        <v>0</v>
      </c>
      <c r="U60">
        <v>2</v>
      </c>
      <c r="V60">
        <v>-1.2304549999999999E-2</v>
      </c>
      <c r="W60">
        <v>-2.094737E-2</v>
      </c>
      <c r="X60">
        <v>0</v>
      </c>
      <c r="Y60" s="8" t="s">
        <v>269</v>
      </c>
      <c r="Z60" s="8" t="s">
        <v>270</v>
      </c>
      <c r="AA60" s="8" t="s">
        <v>271</v>
      </c>
    </row>
    <row r="61" spans="1:27" x14ac:dyDescent="0.25">
      <c r="A61">
        <v>0</v>
      </c>
      <c r="B61">
        <v>0.3</v>
      </c>
      <c r="C61">
        <v>60</v>
      </c>
      <c r="D61">
        <v>-0.69069999999999998</v>
      </c>
      <c r="E61">
        <v>-9.9900000000000003E-2</v>
      </c>
      <c r="F61">
        <v>8.5153629999999994E-2</v>
      </c>
      <c r="G61">
        <v>0.69785054999999996</v>
      </c>
      <c r="H61">
        <v>0.99501143000000003</v>
      </c>
      <c r="I61">
        <v>0</v>
      </c>
      <c r="J61">
        <v>3.2852000000000001</v>
      </c>
      <c r="K61" s="8" t="s">
        <v>272</v>
      </c>
      <c r="L61" s="8" t="s">
        <v>273</v>
      </c>
      <c r="M61">
        <v>0</v>
      </c>
      <c r="N61">
        <v>0</v>
      </c>
      <c r="O61">
        <v>0.30214944999999999</v>
      </c>
      <c r="P61" s="8">
        <v>-3.0298930000000002E-2</v>
      </c>
      <c r="Q61">
        <v>1.6719879999999999E-2</v>
      </c>
      <c r="R61">
        <v>1.50056E-3</v>
      </c>
      <c r="S61">
        <v>2</v>
      </c>
      <c r="T61">
        <v>0</v>
      </c>
      <c r="U61">
        <v>2</v>
      </c>
      <c r="V61">
        <v>-1.12596E-2</v>
      </c>
      <c r="W61">
        <v>-1.9240759999999999E-2</v>
      </c>
      <c r="X61">
        <v>0</v>
      </c>
      <c r="Y61" s="8" t="s">
        <v>274</v>
      </c>
      <c r="Z61" s="8" t="s">
        <v>275</v>
      </c>
      <c r="AA61" s="8" t="s">
        <v>276</v>
      </c>
    </row>
    <row r="62" spans="1:27" x14ac:dyDescent="0.25">
      <c r="A62">
        <v>0</v>
      </c>
      <c r="B62">
        <v>0.30499999999999999</v>
      </c>
      <c r="C62">
        <v>61</v>
      </c>
      <c r="D62">
        <v>-0.71730000000000005</v>
      </c>
      <c r="E62">
        <v>-9.01E-2</v>
      </c>
      <c r="F62">
        <v>7.7563450000000006E-2</v>
      </c>
      <c r="G62">
        <v>0.72292855</v>
      </c>
      <c r="H62">
        <v>0.99501143000000003</v>
      </c>
      <c r="I62">
        <v>0</v>
      </c>
      <c r="J62">
        <v>3.2665000000000002</v>
      </c>
      <c r="K62" s="8" t="s">
        <v>277</v>
      </c>
      <c r="L62" s="8" t="s">
        <v>278</v>
      </c>
      <c r="M62">
        <v>0</v>
      </c>
      <c r="N62">
        <v>0</v>
      </c>
      <c r="O62">
        <v>0.27707145</v>
      </c>
      <c r="P62" s="8">
        <v>-2.731828E-2</v>
      </c>
      <c r="Q62">
        <v>1.522955E-2</v>
      </c>
      <c r="R62">
        <v>1.49033E-3</v>
      </c>
      <c r="S62">
        <v>2</v>
      </c>
      <c r="T62">
        <v>0</v>
      </c>
      <c r="U62">
        <v>2</v>
      </c>
      <c r="V62">
        <v>-1.023374E-2</v>
      </c>
      <c r="W62">
        <v>-1.7538720000000001E-2</v>
      </c>
      <c r="X62">
        <v>0</v>
      </c>
      <c r="Y62" s="8" t="s">
        <v>279</v>
      </c>
      <c r="Z62" s="8" t="s">
        <v>280</v>
      </c>
      <c r="AA62" s="8" t="s">
        <v>281</v>
      </c>
    </row>
    <row r="63" spans="1:27" x14ac:dyDescent="0.25">
      <c r="A63">
        <v>0</v>
      </c>
      <c r="B63">
        <v>0.31</v>
      </c>
      <c r="C63">
        <v>62</v>
      </c>
      <c r="D63">
        <v>-0.74209999999999998</v>
      </c>
      <c r="E63">
        <v>-0.08</v>
      </c>
      <c r="F63">
        <v>7.0066729999999994E-2</v>
      </c>
      <c r="G63">
        <v>0.74640503000000002</v>
      </c>
      <c r="H63">
        <v>0.99501143000000003</v>
      </c>
      <c r="I63">
        <v>0</v>
      </c>
      <c r="J63">
        <v>3.2490000000000001</v>
      </c>
      <c r="K63" s="8" t="s">
        <v>282</v>
      </c>
      <c r="L63" s="8" t="s">
        <v>283</v>
      </c>
      <c r="M63">
        <v>0</v>
      </c>
      <c r="N63">
        <v>0</v>
      </c>
      <c r="O63">
        <v>0.25359496999999998</v>
      </c>
      <c r="P63" s="8">
        <v>-2.4374320000000001E-2</v>
      </c>
      <c r="Q63">
        <v>1.375757E-2</v>
      </c>
      <c r="R63">
        <v>1.4719799999999999E-3</v>
      </c>
      <c r="S63">
        <v>2</v>
      </c>
      <c r="T63">
        <v>0</v>
      </c>
      <c r="U63">
        <v>2</v>
      </c>
      <c r="V63">
        <v>-9.2300000000000004E-3</v>
      </c>
      <c r="W63">
        <v>-1.5852080000000001E-2</v>
      </c>
      <c r="X63">
        <v>0</v>
      </c>
      <c r="Y63" s="8" t="s">
        <v>284</v>
      </c>
      <c r="Z63" s="8" t="s">
        <v>285</v>
      </c>
      <c r="AA63" s="8" t="s">
        <v>286</v>
      </c>
    </row>
    <row r="64" spans="1:27" x14ac:dyDescent="0.25">
      <c r="A64">
        <v>0</v>
      </c>
      <c r="B64">
        <v>0.315</v>
      </c>
      <c r="C64">
        <v>63</v>
      </c>
      <c r="D64">
        <v>-0.7651</v>
      </c>
      <c r="E64">
        <v>-6.9699999999999998E-2</v>
      </c>
      <c r="F64">
        <v>6.2703789999999995E-2</v>
      </c>
      <c r="G64">
        <v>0.76827245</v>
      </c>
      <c r="H64">
        <v>0.99501143000000003</v>
      </c>
      <c r="I64">
        <v>0</v>
      </c>
      <c r="J64">
        <v>3.2324999999999999</v>
      </c>
      <c r="K64" s="8" t="s">
        <v>287</v>
      </c>
      <c r="L64" s="8" t="s">
        <v>288</v>
      </c>
      <c r="M64">
        <v>0</v>
      </c>
      <c r="N64">
        <v>0</v>
      </c>
      <c r="O64">
        <v>0.23172755</v>
      </c>
      <c r="P64" s="8">
        <v>-2.1482899999999999E-2</v>
      </c>
      <c r="Q64">
        <v>1.2311860000000001E-2</v>
      </c>
      <c r="R64">
        <v>1.44571E-3</v>
      </c>
      <c r="S64">
        <v>2</v>
      </c>
      <c r="T64">
        <v>0</v>
      </c>
      <c r="U64">
        <v>2</v>
      </c>
      <c r="V64">
        <v>-8.2514600000000004E-3</v>
      </c>
      <c r="W64">
        <v>-1.4191280000000001E-2</v>
      </c>
      <c r="X64">
        <v>0</v>
      </c>
      <c r="Y64" s="8" t="s">
        <v>289</v>
      </c>
      <c r="Z64" s="8" t="s">
        <v>290</v>
      </c>
      <c r="AA64" s="8" t="s">
        <v>291</v>
      </c>
    </row>
    <row r="65" spans="1:27" x14ac:dyDescent="0.25">
      <c r="A65">
        <v>0</v>
      </c>
      <c r="B65">
        <v>0.32</v>
      </c>
      <c r="C65">
        <v>64</v>
      </c>
      <c r="D65">
        <v>-0.7863</v>
      </c>
      <c r="E65">
        <v>-5.9299999999999999E-2</v>
      </c>
      <c r="F65">
        <v>5.5514069999999999E-2</v>
      </c>
      <c r="G65">
        <v>0.78852887000000005</v>
      </c>
      <c r="H65">
        <v>0.99501143000000003</v>
      </c>
      <c r="I65">
        <v>0</v>
      </c>
      <c r="J65">
        <v>3.2168000000000001</v>
      </c>
      <c r="K65" s="8" t="s">
        <v>292</v>
      </c>
      <c r="L65" s="8" t="s">
        <v>293</v>
      </c>
      <c r="M65">
        <v>0</v>
      </c>
      <c r="N65">
        <v>0</v>
      </c>
      <c r="O65">
        <v>0.21147113000000001</v>
      </c>
      <c r="P65" s="8">
        <v>-1.8659499999999999E-2</v>
      </c>
      <c r="Q65">
        <v>1.0900160000000001E-2</v>
      </c>
      <c r="R65">
        <v>1.4117000000000001E-3</v>
      </c>
      <c r="S65">
        <v>2</v>
      </c>
      <c r="T65">
        <v>0</v>
      </c>
      <c r="U65">
        <v>2</v>
      </c>
      <c r="V65">
        <v>-7.3013100000000001E-3</v>
      </c>
      <c r="W65">
        <v>-1.256642E-2</v>
      </c>
      <c r="X65">
        <v>0</v>
      </c>
      <c r="Y65" s="8" t="s">
        <v>294</v>
      </c>
      <c r="Z65" s="8" t="s">
        <v>295</v>
      </c>
      <c r="AA65" s="8" t="s">
        <v>296</v>
      </c>
    </row>
    <row r="66" spans="1:27" x14ac:dyDescent="0.25">
      <c r="A66">
        <v>0</v>
      </c>
      <c r="B66">
        <v>0.32500000000000001</v>
      </c>
      <c r="C66">
        <v>65</v>
      </c>
      <c r="D66">
        <v>-0.80569999999999997</v>
      </c>
      <c r="E66">
        <v>-4.87E-2</v>
      </c>
      <c r="F66">
        <v>4.8536320000000001E-2</v>
      </c>
      <c r="G66">
        <v>0.80717784999999997</v>
      </c>
      <c r="H66">
        <v>0.99501143000000003</v>
      </c>
      <c r="I66">
        <v>0</v>
      </c>
      <c r="J66">
        <v>3.202</v>
      </c>
      <c r="K66" s="8" t="s">
        <v>297</v>
      </c>
      <c r="L66" s="8" t="s">
        <v>298</v>
      </c>
      <c r="M66">
        <v>0</v>
      </c>
      <c r="N66">
        <v>0</v>
      </c>
      <c r="O66">
        <v>0.19282215</v>
      </c>
      <c r="P66" s="8">
        <v>-1.5919349999999999E-2</v>
      </c>
      <c r="Q66">
        <v>9.5300899999999997E-3</v>
      </c>
      <c r="R66">
        <v>1.3700800000000001E-3</v>
      </c>
      <c r="S66">
        <v>2</v>
      </c>
      <c r="T66">
        <v>0</v>
      </c>
      <c r="U66">
        <v>2</v>
      </c>
      <c r="V66">
        <v>-6.3829100000000003E-3</v>
      </c>
      <c r="W66">
        <v>-1.09873E-2</v>
      </c>
      <c r="X66">
        <v>0</v>
      </c>
      <c r="Y66" s="8" t="s">
        <v>299</v>
      </c>
      <c r="Z66" s="8" t="s">
        <v>300</v>
      </c>
      <c r="AA66" s="8" t="s">
        <v>301</v>
      </c>
    </row>
    <row r="67" spans="1:27" x14ac:dyDescent="0.25">
      <c r="A67">
        <v>0</v>
      </c>
      <c r="B67">
        <v>0.33</v>
      </c>
      <c r="C67">
        <v>66</v>
      </c>
      <c r="D67">
        <v>-0.82330000000000003</v>
      </c>
      <c r="E67">
        <v>-3.8199999999999998E-2</v>
      </c>
      <c r="F67">
        <v>4.1808940000000003E-2</v>
      </c>
      <c r="G67">
        <v>0.82422863000000002</v>
      </c>
      <c r="H67">
        <v>0.99501143000000003</v>
      </c>
      <c r="I67">
        <v>0</v>
      </c>
      <c r="J67">
        <v>3.1880000000000002</v>
      </c>
      <c r="K67" s="8" t="s">
        <v>302</v>
      </c>
      <c r="L67" s="8" t="s">
        <v>303</v>
      </c>
      <c r="M67">
        <v>0</v>
      </c>
      <c r="N67">
        <v>0</v>
      </c>
      <c r="O67">
        <v>0.17577137000000001</v>
      </c>
      <c r="P67" s="8">
        <v>-1.3277509999999999E-2</v>
      </c>
      <c r="Q67">
        <v>8.20917E-3</v>
      </c>
      <c r="R67">
        <v>1.32092E-3</v>
      </c>
      <c r="S67">
        <v>2</v>
      </c>
      <c r="T67">
        <v>0</v>
      </c>
      <c r="U67">
        <v>2</v>
      </c>
      <c r="V67">
        <v>-5.4998099999999999E-3</v>
      </c>
      <c r="W67">
        <v>-9.4634699999999999E-3</v>
      </c>
      <c r="X67">
        <v>0</v>
      </c>
      <c r="Y67" s="8" t="s">
        <v>304</v>
      </c>
      <c r="Z67" s="8" t="s">
        <v>305</v>
      </c>
      <c r="AA67" s="8" t="s">
        <v>306</v>
      </c>
    </row>
    <row r="68" spans="1:27" x14ac:dyDescent="0.25">
      <c r="A68">
        <v>0</v>
      </c>
      <c r="B68">
        <v>0.33500000000000002</v>
      </c>
      <c r="C68">
        <v>67</v>
      </c>
      <c r="D68">
        <v>-0.83919999999999995</v>
      </c>
      <c r="E68">
        <v>-2.7799999999999998E-2</v>
      </c>
      <c r="F68">
        <v>3.537038E-2</v>
      </c>
      <c r="G68">
        <v>0.83969643000000005</v>
      </c>
      <c r="H68">
        <v>0.99501143000000003</v>
      </c>
      <c r="I68">
        <v>0</v>
      </c>
      <c r="J68">
        <v>3.1747999999999998</v>
      </c>
      <c r="K68" s="8" t="s">
        <v>307</v>
      </c>
      <c r="L68" s="8" t="s">
        <v>308</v>
      </c>
      <c r="M68">
        <v>0</v>
      </c>
      <c r="N68">
        <v>0</v>
      </c>
      <c r="O68">
        <v>0.16030357000000001</v>
      </c>
      <c r="P68" s="8">
        <v>-1.0749089999999999E-2</v>
      </c>
      <c r="Q68">
        <v>6.94496E-3</v>
      </c>
      <c r="R68">
        <v>1.26421E-3</v>
      </c>
      <c r="S68">
        <v>2</v>
      </c>
      <c r="T68">
        <v>0</v>
      </c>
      <c r="U68">
        <v>2</v>
      </c>
      <c r="V68">
        <v>-4.6558499999999996E-3</v>
      </c>
      <c r="W68">
        <v>-8.0043500000000004E-3</v>
      </c>
      <c r="X68">
        <v>0</v>
      </c>
      <c r="Y68" s="8" t="s">
        <v>309</v>
      </c>
      <c r="Z68" s="8" t="s">
        <v>310</v>
      </c>
      <c r="AA68" s="8" t="s">
        <v>311</v>
      </c>
    </row>
    <row r="69" spans="1:27" x14ac:dyDescent="0.25">
      <c r="A69">
        <v>0</v>
      </c>
      <c r="B69">
        <v>0.34</v>
      </c>
      <c r="C69">
        <v>68</v>
      </c>
      <c r="D69">
        <v>-0.85340000000000005</v>
      </c>
      <c r="E69">
        <v>-1.7600000000000001E-2</v>
      </c>
      <c r="F69">
        <v>2.9259899999999998E-2</v>
      </c>
      <c r="G69">
        <v>0.85360296000000002</v>
      </c>
      <c r="H69">
        <v>0.99501143000000003</v>
      </c>
      <c r="I69">
        <v>0</v>
      </c>
      <c r="J69">
        <v>3.1621999999999999</v>
      </c>
      <c r="K69" s="8" t="s">
        <v>312</v>
      </c>
      <c r="L69" s="8" t="s">
        <v>313</v>
      </c>
      <c r="M69">
        <v>0</v>
      </c>
      <c r="N69">
        <v>0</v>
      </c>
      <c r="O69">
        <v>0.14639704000000001</v>
      </c>
      <c r="P69" s="8">
        <v>-8.3495099999999992E-3</v>
      </c>
      <c r="Q69">
        <v>5.74517E-3</v>
      </c>
      <c r="R69">
        <v>1.1997900000000001E-3</v>
      </c>
      <c r="S69">
        <v>2</v>
      </c>
      <c r="T69">
        <v>0</v>
      </c>
      <c r="U69">
        <v>2</v>
      </c>
      <c r="V69">
        <v>-3.8552E-3</v>
      </c>
      <c r="W69">
        <v>-6.6194000000000001E-3</v>
      </c>
      <c r="X69">
        <v>0</v>
      </c>
      <c r="Y69" s="8" t="s">
        <v>314</v>
      </c>
      <c r="Z69" s="8" t="s">
        <v>315</v>
      </c>
      <c r="AA69" s="8" t="s">
        <v>316</v>
      </c>
    </row>
    <row r="70" spans="1:27" x14ac:dyDescent="0.25">
      <c r="A70">
        <v>0</v>
      </c>
      <c r="B70">
        <v>0.34499999999999997</v>
      </c>
      <c r="C70">
        <v>69</v>
      </c>
      <c r="D70">
        <v>-0.8659</v>
      </c>
      <c r="E70">
        <v>-7.7000000000000002E-3</v>
      </c>
      <c r="F70">
        <v>2.3518560000000001E-2</v>
      </c>
      <c r="G70">
        <v>0.86597707999999995</v>
      </c>
      <c r="H70">
        <v>0.99501143000000003</v>
      </c>
      <c r="I70">
        <v>0</v>
      </c>
      <c r="J70">
        <v>3.1503999999999999</v>
      </c>
      <c r="K70" s="8" t="s">
        <v>317</v>
      </c>
      <c r="L70" s="8" t="s">
        <v>318</v>
      </c>
      <c r="M70">
        <v>0</v>
      </c>
      <c r="N70">
        <v>0</v>
      </c>
      <c r="O70">
        <v>0.13402291999999999</v>
      </c>
      <c r="P70" s="8">
        <v>-6.0949000000000003E-3</v>
      </c>
      <c r="Q70">
        <v>4.6178599999999997E-3</v>
      </c>
      <c r="R70">
        <v>1.1273100000000001E-3</v>
      </c>
      <c r="S70">
        <v>2</v>
      </c>
      <c r="T70">
        <v>0</v>
      </c>
      <c r="U70">
        <v>2</v>
      </c>
      <c r="V70">
        <v>-3.10253E-3</v>
      </c>
      <c r="W70">
        <v>-5.3183400000000004E-3</v>
      </c>
      <c r="X70">
        <v>0</v>
      </c>
      <c r="Y70" s="8" t="s">
        <v>319</v>
      </c>
      <c r="Z70" s="8" t="s">
        <v>320</v>
      </c>
      <c r="AA70" s="8" t="s">
        <v>321</v>
      </c>
    </row>
    <row r="71" spans="1:27" x14ac:dyDescent="0.25">
      <c r="A71">
        <v>0</v>
      </c>
      <c r="B71">
        <v>0.35</v>
      </c>
      <c r="C71">
        <v>70</v>
      </c>
      <c r="D71">
        <v>-0.87690000000000001</v>
      </c>
      <c r="E71">
        <v>2E-3</v>
      </c>
      <c r="F71">
        <v>1.8190870000000001E-2</v>
      </c>
      <c r="G71">
        <v>0.87685564999999999</v>
      </c>
      <c r="H71">
        <v>0.99501143000000003</v>
      </c>
      <c r="I71">
        <v>0</v>
      </c>
      <c r="J71">
        <v>3.1393</v>
      </c>
      <c r="K71" s="8" t="s">
        <v>322</v>
      </c>
      <c r="L71" s="8" t="s">
        <v>323</v>
      </c>
      <c r="M71">
        <v>0</v>
      </c>
      <c r="N71">
        <v>0</v>
      </c>
      <c r="O71">
        <v>0.12314435</v>
      </c>
      <c r="P71" s="8">
        <v>-4.0027200000000004E-3</v>
      </c>
      <c r="Q71">
        <v>3.5717700000000002E-3</v>
      </c>
      <c r="R71">
        <v>1.04609E-3</v>
      </c>
      <c r="S71">
        <v>2</v>
      </c>
      <c r="T71">
        <v>0</v>
      </c>
      <c r="U71">
        <v>2</v>
      </c>
      <c r="V71">
        <v>-2.4031999999999999E-3</v>
      </c>
      <c r="W71">
        <v>-4.1115300000000004E-3</v>
      </c>
      <c r="X71">
        <v>0</v>
      </c>
      <c r="Y71" s="8" t="s">
        <v>324</v>
      </c>
      <c r="Z71" s="8" t="s">
        <v>325</v>
      </c>
      <c r="AA71" s="8" t="s">
        <v>326</v>
      </c>
    </row>
    <row r="72" spans="1:27" x14ac:dyDescent="0.25">
      <c r="A72">
        <v>0</v>
      </c>
      <c r="B72">
        <v>0.35499999999999998</v>
      </c>
      <c r="C72">
        <v>71</v>
      </c>
      <c r="D72">
        <v>-0.88619999999999999</v>
      </c>
      <c r="E72">
        <v>1.12E-2</v>
      </c>
      <c r="F72">
        <v>1.3327479999999999E-2</v>
      </c>
      <c r="G72">
        <v>0.88628454000000001</v>
      </c>
      <c r="H72">
        <v>0.99501143000000003</v>
      </c>
      <c r="I72">
        <v>0</v>
      </c>
      <c r="J72">
        <v>3.129</v>
      </c>
      <c r="K72" s="8" t="s">
        <v>327</v>
      </c>
      <c r="L72" s="8" t="s">
        <v>328</v>
      </c>
      <c r="M72">
        <v>0</v>
      </c>
      <c r="N72">
        <v>0</v>
      </c>
      <c r="O72">
        <v>0.11371546</v>
      </c>
      <c r="P72" s="8">
        <v>-2.0928700000000001E-3</v>
      </c>
      <c r="Q72">
        <v>2.6168400000000001E-3</v>
      </c>
      <c r="R72">
        <v>9.5492999999999999E-4</v>
      </c>
      <c r="S72">
        <v>2</v>
      </c>
      <c r="T72">
        <v>0</v>
      </c>
      <c r="U72">
        <v>2</v>
      </c>
      <c r="V72">
        <v>-1.76359E-3</v>
      </c>
      <c r="W72">
        <v>-3.0106099999999999E-3</v>
      </c>
      <c r="X72">
        <v>0</v>
      </c>
      <c r="Y72" s="8" t="s">
        <v>329</v>
      </c>
      <c r="Z72" s="8" t="s">
        <v>330</v>
      </c>
      <c r="AA72" s="8" t="s">
        <v>331</v>
      </c>
    </row>
    <row r="73" spans="1:27" x14ac:dyDescent="0.25">
      <c r="A73">
        <v>0</v>
      </c>
      <c r="B73">
        <v>0.36</v>
      </c>
      <c r="C73">
        <v>72</v>
      </c>
      <c r="D73">
        <v>-0.89410000000000001</v>
      </c>
      <c r="E73">
        <v>1.9900000000000001E-2</v>
      </c>
      <c r="F73">
        <v>8.9899799999999998E-3</v>
      </c>
      <c r="G73">
        <v>0.89432007000000002</v>
      </c>
      <c r="H73">
        <v>0.99501143000000003</v>
      </c>
      <c r="I73">
        <v>0</v>
      </c>
      <c r="J73">
        <v>3.1194000000000002</v>
      </c>
      <c r="K73" s="8" t="s">
        <v>332</v>
      </c>
      <c r="L73" s="8" t="s">
        <v>333</v>
      </c>
      <c r="M73">
        <v>0</v>
      </c>
      <c r="N73">
        <v>0</v>
      </c>
      <c r="O73">
        <v>0.10567993000000001</v>
      </c>
      <c r="P73" s="8">
        <v>-3.8953000000000002E-4</v>
      </c>
      <c r="Q73">
        <v>1.7651800000000001E-3</v>
      </c>
      <c r="R73">
        <v>8.5167000000000001E-4</v>
      </c>
      <c r="S73">
        <v>2</v>
      </c>
      <c r="T73">
        <v>0</v>
      </c>
      <c r="U73">
        <v>2</v>
      </c>
      <c r="V73">
        <v>-1.19176E-3</v>
      </c>
      <c r="W73">
        <v>-2.0295299999999999E-3</v>
      </c>
      <c r="X73">
        <v>0</v>
      </c>
      <c r="Y73" s="8" t="s">
        <v>334</v>
      </c>
      <c r="Z73" s="8" t="s">
        <v>335</v>
      </c>
      <c r="AA73" s="8" t="s">
        <v>336</v>
      </c>
    </row>
    <row r="74" spans="1:27" x14ac:dyDescent="0.25">
      <c r="A74">
        <v>0</v>
      </c>
      <c r="B74">
        <v>0.36499999999999999</v>
      </c>
      <c r="C74">
        <v>73</v>
      </c>
      <c r="D74">
        <v>-0.90059999999999996</v>
      </c>
      <c r="E74">
        <v>2.8000000000000001E-2</v>
      </c>
      <c r="F74">
        <v>5.2607499999999998E-3</v>
      </c>
      <c r="G74">
        <v>0.90103096000000005</v>
      </c>
      <c r="H74">
        <v>0.99501143000000003</v>
      </c>
      <c r="I74">
        <v>0</v>
      </c>
      <c r="J74">
        <v>3.1105</v>
      </c>
      <c r="K74" s="8" t="s">
        <v>337</v>
      </c>
      <c r="L74" s="8" t="s">
        <v>338</v>
      </c>
      <c r="M74">
        <v>0</v>
      </c>
      <c r="N74">
        <v>0</v>
      </c>
      <c r="O74">
        <v>9.8969039999999994E-2</v>
      </c>
      <c r="P74" s="8">
        <v>1.07493E-3</v>
      </c>
      <c r="Q74">
        <v>1.0329499999999999E-3</v>
      </c>
      <c r="R74">
        <v>7.3222999999999995E-4</v>
      </c>
      <c r="S74">
        <v>2</v>
      </c>
      <c r="T74">
        <v>0</v>
      </c>
      <c r="U74">
        <v>2</v>
      </c>
      <c r="V74">
        <v>-6.9873000000000005E-4</v>
      </c>
      <c r="W74">
        <v>-1.1868499999999999E-3</v>
      </c>
      <c r="X74">
        <v>0</v>
      </c>
      <c r="Y74" s="8" t="s">
        <v>339</v>
      </c>
      <c r="Z74" s="8" t="s">
        <v>340</v>
      </c>
      <c r="AA74" s="8" t="s">
        <v>341</v>
      </c>
    </row>
    <row r="75" spans="1:27" x14ac:dyDescent="0.25">
      <c r="A75">
        <v>0</v>
      </c>
      <c r="B75">
        <v>0.37</v>
      </c>
      <c r="C75">
        <v>74</v>
      </c>
      <c r="D75">
        <v>-0.90580000000000005</v>
      </c>
      <c r="E75">
        <v>3.5400000000000001E-2</v>
      </c>
      <c r="F75">
        <v>2.2675199999999999E-3</v>
      </c>
      <c r="G75">
        <v>0.90650156999999998</v>
      </c>
      <c r="H75">
        <v>0.99501143000000003</v>
      </c>
      <c r="I75">
        <v>0</v>
      </c>
      <c r="J75">
        <v>3.1025</v>
      </c>
      <c r="K75" s="8" t="s">
        <v>342</v>
      </c>
      <c r="L75" s="8" t="s">
        <v>343</v>
      </c>
      <c r="M75">
        <v>0</v>
      </c>
      <c r="N75">
        <v>0</v>
      </c>
      <c r="O75">
        <v>9.3498429999999993E-2</v>
      </c>
      <c r="P75" s="8">
        <v>2.2503699999999998E-3</v>
      </c>
      <c r="Q75">
        <v>4.4523000000000002E-4</v>
      </c>
      <c r="R75">
        <v>5.8772000000000002E-4</v>
      </c>
      <c r="S75">
        <v>2</v>
      </c>
      <c r="T75">
        <v>0</v>
      </c>
      <c r="U75">
        <v>2</v>
      </c>
      <c r="V75">
        <v>-3.0177999999999997E-4</v>
      </c>
      <c r="W75">
        <v>-5.1121000000000001E-4</v>
      </c>
      <c r="X75">
        <v>0</v>
      </c>
      <c r="Y75" s="8" t="s">
        <v>344</v>
      </c>
      <c r="Z75" s="8" t="s">
        <v>345</v>
      </c>
      <c r="AA75" s="8" t="s">
        <v>346</v>
      </c>
    </row>
    <row r="76" spans="1:27" x14ac:dyDescent="0.25">
      <c r="A76">
        <v>0</v>
      </c>
      <c r="B76">
        <v>0.375</v>
      </c>
      <c r="C76">
        <v>75</v>
      </c>
      <c r="D76">
        <v>-0.90990000000000004</v>
      </c>
      <c r="E76">
        <v>4.2099999999999999E-2</v>
      </c>
      <c r="F76">
        <v>2.7961000000000001E-4</v>
      </c>
      <c r="G76">
        <v>0.91083807000000006</v>
      </c>
      <c r="H76">
        <v>0.99501143000000003</v>
      </c>
      <c r="I76">
        <v>0</v>
      </c>
      <c r="J76">
        <v>3.0954000000000002</v>
      </c>
      <c r="K76" s="8" t="s">
        <v>347</v>
      </c>
      <c r="L76" s="8" t="s">
        <v>348</v>
      </c>
      <c r="M76">
        <v>0</v>
      </c>
      <c r="N76">
        <v>0</v>
      </c>
      <c r="O76">
        <v>8.916193E-2</v>
      </c>
      <c r="P76" s="8">
        <v>3.0310200000000002E-3</v>
      </c>
      <c r="Q76">
        <v>5.49E-5</v>
      </c>
      <c r="R76">
        <v>3.9032999999999998E-4</v>
      </c>
      <c r="S76">
        <v>2</v>
      </c>
      <c r="T76">
        <v>0</v>
      </c>
      <c r="U76">
        <v>2</v>
      </c>
      <c r="V76">
        <v>-3.7289999999999997E-5</v>
      </c>
      <c r="W76">
        <v>-6.2990000000000005E-5</v>
      </c>
      <c r="X76">
        <v>0</v>
      </c>
      <c r="Y76" s="8" t="s">
        <v>349</v>
      </c>
      <c r="Z76" s="8" t="s">
        <v>350</v>
      </c>
      <c r="AA76" s="8" t="s">
        <v>351</v>
      </c>
    </row>
    <row r="77" spans="1:27" x14ac:dyDescent="0.25">
      <c r="A77">
        <v>0</v>
      </c>
      <c r="B77">
        <v>0.38</v>
      </c>
      <c r="C77">
        <v>76</v>
      </c>
      <c r="D77">
        <v>-0.91290000000000004</v>
      </c>
      <c r="E77">
        <v>4.7800000000000002E-2</v>
      </c>
      <c r="F77">
        <v>0</v>
      </c>
      <c r="G77">
        <v>0.91418626999999997</v>
      </c>
      <c r="H77">
        <v>0.99501143000000003</v>
      </c>
      <c r="I77">
        <v>0</v>
      </c>
      <c r="J77">
        <v>3.0891999999999999</v>
      </c>
      <c r="K77" s="8" t="s">
        <v>42</v>
      </c>
      <c r="L77" s="8" t="s">
        <v>42</v>
      </c>
      <c r="M77">
        <v>0</v>
      </c>
      <c r="N77">
        <v>0</v>
      </c>
      <c r="O77">
        <v>8.5813730000000005E-2</v>
      </c>
      <c r="P77" s="8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s="8" t="s">
        <v>42</v>
      </c>
      <c r="Z77" s="8" t="s">
        <v>42</v>
      </c>
      <c r="AA77" s="8" t="s">
        <v>42</v>
      </c>
    </row>
    <row r="78" spans="1:27" x14ac:dyDescent="0.25">
      <c r="A78">
        <v>0</v>
      </c>
      <c r="B78">
        <v>0.38500000000000001</v>
      </c>
      <c r="C78">
        <v>77</v>
      </c>
      <c r="D78">
        <v>-0.91390000000000005</v>
      </c>
      <c r="E78">
        <v>4.9799999999999997E-2</v>
      </c>
      <c r="F78">
        <v>0</v>
      </c>
      <c r="G78">
        <v>0.91530303999999996</v>
      </c>
      <c r="H78">
        <v>0.99501143000000003</v>
      </c>
      <c r="I78">
        <v>0</v>
      </c>
      <c r="J78">
        <v>3.0872000000000002</v>
      </c>
      <c r="K78" s="8" t="s">
        <v>42</v>
      </c>
      <c r="L78" s="8" t="s">
        <v>42</v>
      </c>
      <c r="M78">
        <v>0</v>
      </c>
      <c r="N78">
        <v>0</v>
      </c>
      <c r="O78">
        <v>8.4696960000000002E-2</v>
      </c>
      <c r="P78" s="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s="8" t="s">
        <v>42</v>
      </c>
      <c r="Z78" s="8" t="s">
        <v>42</v>
      </c>
      <c r="AA78" s="8" t="s">
        <v>42</v>
      </c>
    </row>
    <row r="79" spans="1:27" x14ac:dyDescent="0.25">
      <c r="A79">
        <v>0</v>
      </c>
      <c r="B79">
        <v>0.39</v>
      </c>
      <c r="C79">
        <v>78</v>
      </c>
      <c r="D79">
        <v>-0.91469999999999996</v>
      </c>
      <c r="E79">
        <v>5.11E-2</v>
      </c>
      <c r="F79">
        <v>0</v>
      </c>
      <c r="G79">
        <v>0.91609607000000004</v>
      </c>
      <c r="H79">
        <v>0.99501143000000003</v>
      </c>
      <c r="I79">
        <v>0</v>
      </c>
      <c r="J79">
        <v>3.0857000000000001</v>
      </c>
      <c r="K79" s="8" t="s">
        <v>42</v>
      </c>
      <c r="L79" s="8" t="s">
        <v>42</v>
      </c>
      <c r="M79">
        <v>0</v>
      </c>
      <c r="N79">
        <v>0</v>
      </c>
      <c r="O79">
        <v>8.3903930000000002E-2</v>
      </c>
      <c r="P79" s="8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8" t="s">
        <v>42</v>
      </c>
      <c r="Z79" s="8" t="s">
        <v>42</v>
      </c>
      <c r="AA79" s="8" t="s">
        <v>42</v>
      </c>
    </row>
    <row r="80" spans="1:27" x14ac:dyDescent="0.25">
      <c r="A80">
        <v>0</v>
      </c>
      <c r="B80">
        <v>0.39500000000000002</v>
      </c>
      <c r="C80">
        <v>79</v>
      </c>
      <c r="D80">
        <v>-0.91510000000000002</v>
      </c>
      <c r="E80">
        <v>5.1999999999999998E-2</v>
      </c>
      <c r="F80">
        <v>0</v>
      </c>
      <c r="G80">
        <v>0.91660149000000002</v>
      </c>
      <c r="H80">
        <v>0.99501143000000003</v>
      </c>
      <c r="I80">
        <v>0</v>
      </c>
      <c r="J80">
        <v>3.0848</v>
      </c>
      <c r="K80" s="8" t="s">
        <v>42</v>
      </c>
      <c r="L80" s="8" t="s">
        <v>42</v>
      </c>
      <c r="M80">
        <v>0</v>
      </c>
      <c r="N80">
        <v>0</v>
      </c>
      <c r="O80">
        <v>8.3398509999999995E-2</v>
      </c>
      <c r="P80" s="8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s="8" t="s">
        <v>42</v>
      </c>
      <c r="Z80" s="8" t="s">
        <v>42</v>
      </c>
      <c r="AA80" s="8" t="s">
        <v>42</v>
      </c>
    </row>
    <row r="81" spans="1:27" x14ac:dyDescent="0.25">
      <c r="A81">
        <v>0</v>
      </c>
      <c r="B81">
        <v>0.4</v>
      </c>
      <c r="C81">
        <v>80</v>
      </c>
      <c r="D81">
        <v>-0.91539999999999999</v>
      </c>
      <c r="E81">
        <v>5.2499999999999998E-2</v>
      </c>
      <c r="F81">
        <v>0</v>
      </c>
      <c r="G81">
        <v>0.91686436000000004</v>
      </c>
      <c r="H81">
        <v>0.99501143000000003</v>
      </c>
      <c r="I81">
        <v>0</v>
      </c>
      <c r="J81">
        <v>3.0842999999999998</v>
      </c>
      <c r="K81" s="8" t="s">
        <v>42</v>
      </c>
      <c r="L81" s="8" t="s">
        <v>42</v>
      </c>
      <c r="M81">
        <v>0</v>
      </c>
      <c r="N81">
        <v>0</v>
      </c>
      <c r="O81">
        <v>8.3135639999999997E-2</v>
      </c>
      <c r="P81" s="8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s="8" t="s">
        <v>42</v>
      </c>
      <c r="Z81" s="8" t="s">
        <v>42</v>
      </c>
      <c r="AA81" s="8" t="s">
        <v>42</v>
      </c>
    </row>
    <row r="82" spans="1:27" x14ac:dyDescent="0.25">
      <c r="A82">
        <v>0</v>
      </c>
      <c r="B82">
        <v>0.40500000000000003</v>
      </c>
      <c r="C82">
        <v>81</v>
      </c>
      <c r="D82">
        <v>-0.91539999999999999</v>
      </c>
      <c r="E82">
        <v>5.2600000000000001E-2</v>
      </c>
      <c r="F82">
        <v>0</v>
      </c>
      <c r="G82">
        <v>0.91694388000000004</v>
      </c>
      <c r="H82">
        <v>0.99501143000000003</v>
      </c>
      <c r="I82">
        <v>0</v>
      </c>
      <c r="J82">
        <v>3.0842000000000001</v>
      </c>
      <c r="K82" s="8" t="s">
        <v>42</v>
      </c>
      <c r="L82" s="8" t="s">
        <v>42</v>
      </c>
      <c r="M82">
        <v>0</v>
      </c>
      <c r="N82">
        <v>0</v>
      </c>
      <c r="O82">
        <v>8.3056119999999997E-2</v>
      </c>
      <c r="P82" s="8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s="8" t="s">
        <v>42</v>
      </c>
      <c r="Z82" s="8" t="s">
        <v>42</v>
      </c>
      <c r="AA82" s="8" t="s">
        <v>42</v>
      </c>
    </row>
    <row r="83" spans="1:27" x14ac:dyDescent="0.25">
      <c r="A83">
        <v>0</v>
      </c>
      <c r="B83">
        <v>0.41</v>
      </c>
      <c r="C83">
        <v>82</v>
      </c>
      <c r="D83">
        <v>-0.91539999999999999</v>
      </c>
      <c r="E83">
        <v>5.2600000000000001E-2</v>
      </c>
      <c r="F83">
        <v>0</v>
      </c>
      <c r="G83">
        <v>0.91694388000000004</v>
      </c>
      <c r="H83">
        <v>0.99501143000000003</v>
      </c>
      <c r="I83">
        <v>0</v>
      </c>
      <c r="J83">
        <v>3.0842000000000001</v>
      </c>
      <c r="K83" s="8" t="s">
        <v>42</v>
      </c>
      <c r="L83" s="8" t="s">
        <v>42</v>
      </c>
      <c r="M83">
        <v>0</v>
      </c>
      <c r="N83">
        <v>0</v>
      </c>
      <c r="O83">
        <v>8.3056119999999997E-2</v>
      </c>
      <c r="P83" s="8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8" t="s">
        <v>42</v>
      </c>
      <c r="Z83" s="8" t="s">
        <v>42</v>
      </c>
      <c r="AA83" s="8" t="s">
        <v>42</v>
      </c>
    </row>
    <row r="84" spans="1:27" x14ac:dyDescent="0.25">
      <c r="A84">
        <v>0</v>
      </c>
      <c r="B84">
        <v>0.41499999999999998</v>
      </c>
      <c r="C84">
        <v>83</v>
      </c>
      <c r="D84">
        <v>-0.91539999999999999</v>
      </c>
      <c r="E84">
        <v>5.2600000000000001E-2</v>
      </c>
      <c r="F84">
        <v>0</v>
      </c>
      <c r="G84">
        <v>0.91694388000000004</v>
      </c>
      <c r="H84">
        <v>0.99501143000000003</v>
      </c>
      <c r="I84">
        <v>0</v>
      </c>
      <c r="J84">
        <v>3.0842000000000001</v>
      </c>
      <c r="K84" s="8" t="s">
        <v>42</v>
      </c>
      <c r="L84" s="8" t="s">
        <v>42</v>
      </c>
      <c r="M84">
        <v>0</v>
      </c>
      <c r="N84">
        <v>0</v>
      </c>
      <c r="O84">
        <v>8.3056119999999997E-2</v>
      </c>
      <c r="P84" s="8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s="8" t="s">
        <v>42</v>
      </c>
      <c r="Z84" s="8" t="s">
        <v>42</v>
      </c>
      <c r="AA84" s="8" t="s">
        <v>42</v>
      </c>
    </row>
    <row r="85" spans="1:27" x14ac:dyDescent="0.25">
      <c r="A85">
        <v>0</v>
      </c>
      <c r="B85">
        <v>0.42</v>
      </c>
      <c r="C85">
        <v>84</v>
      </c>
      <c r="D85">
        <v>-0.91539999999999999</v>
      </c>
      <c r="E85">
        <v>5.2600000000000001E-2</v>
      </c>
      <c r="F85">
        <v>0</v>
      </c>
      <c r="G85">
        <v>0.91694388000000004</v>
      </c>
      <c r="H85">
        <v>0.99501143000000003</v>
      </c>
      <c r="I85">
        <v>0</v>
      </c>
      <c r="J85">
        <v>3.0842000000000001</v>
      </c>
      <c r="K85" s="8" t="s">
        <v>42</v>
      </c>
      <c r="L85" s="8" t="s">
        <v>42</v>
      </c>
      <c r="M85">
        <v>0</v>
      </c>
      <c r="N85">
        <v>0</v>
      </c>
      <c r="O85">
        <v>8.3056119999999997E-2</v>
      </c>
      <c r="P85" s="8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s="8" t="s">
        <v>42</v>
      </c>
      <c r="Z85" s="8" t="s">
        <v>42</v>
      </c>
      <c r="AA85" s="8" t="s">
        <v>42</v>
      </c>
    </row>
    <row r="86" spans="1:27" x14ac:dyDescent="0.25">
      <c r="A86">
        <v>0</v>
      </c>
      <c r="B86">
        <v>0.42499999999999999</v>
      </c>
      <c r="C86">
        <v>85</v>
      </c>
      <c r="D86">
        <v>-0.91539999999999999</v>
      </c>
      <c r="E86">
        <v>5.2600000000000001E-2</v>
      </c>
      <c r="F86">
        <v>0</v>
      </c>
      <c r="G86">
        <v>0.91694388000000004</v>
      </c>
      <c r="H86">
        <v>0.99501143000000003</v>
      </c>
      <c r="I86">
        <v>0</v>
      </c>
      <c r="J86">
        <v>3.0842000000000001</v>
      </c>
      <c r="K86" s="8" t="s">
        <v>42</v>
      </c>
      <c r="L86" s="8" t="s">
        <v>42</v>
      </c>
      <c r="M86">
        <v>0</v>
      </c>
      <c r="N86">
        <v>0</v>
      </c>
      <c r="O86">
        <v>8.3056119999999997E-2</v>
      </c>
      <c r="P86" s="8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8" t="s">
        <v>42</v>
      </c>
      <c r="Z86" s="8" t="s">
        <v>42</v>
      </c>
      <c r="AA86" s="8" t="s">
        <v>42</v>
      </c>
    </row>
    <row r="87" spans="1:27" x14ac:dyDescent="0.25">
      <c r="A87">
        <v>0</v>
      </c>
      <c r="B87">
        <v>0.43</v>
      </c>
      <c r="C87">
        <v>86</v>
      </c>
      <c r="D87">
        <v>-0.91539999999999999</v>
      </c>
      <c r="E87">
        <v>5.2600000000000001E-2</v>
      </c>
      <c r="F87">
        <v>0</v>
      </c>
      <c r="G87">
        <v>0.91694388000000004</v>
      </c>
      <c r="H87">
        <v>0.99501143000000003</v>
      </c>
      <c r="I87">
        <v>0</v>
      </c>
      <c r="J87">
        <v>3.0842000000000001</v>
      </c>
      <c r="K87" s="8" t="s">
        <v>42</v>
      </c>
      <c r="L87" s="8" t="s">
        <v>42</v>
      </c>
      <c r="M87">
        <v>0</v>
      </c>
      <c r="N87">
        <v>0</v>
      </c>
      <c r="O87">
        <v>8.3056119999999997E-2</v>
      </c>
      <c r="P87" s="8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s="8" t="s">
        <v>42</v>
      </c>
      <c r="Z87" s="8" t="s">
        <v>42</v>
      </c>
      <c r="AA87" s="8" t="s">
        <v>42</v>
      </c>
    </row>
    <row r="88" spans="1:27" x14ac:dyDescent="0.25">
      <c r="A88">
        <v>0</v>
      </c>
      <c r="B88">
        <v>0.435</v>
      </c>
      <c r="C88">
        <v>87</v>
      </c>
      <c r="D88">
        <v>-0.91539999999999999</v>
      </c>
      <c r="E88">
        <v>5.2600000000000001E-2</v>
      </c>
      <c r="F88">
        <v>0</v>
      </c>
      <c r="G88">
        <v>0.91694388000000004</v>
      </c>
      <c r="H88">
        <v>0.99501143000000003</v>
      </c>
      <c r="I88">
        <v>0</v>
      </c>
      <c r="J88">
        <v>3.0842000000000001</v>
      </c>
      <c r="K88" s="8" t="s">
        <v>42</v>
      </c>
      <c r="L88" s="8" t="s">
        <v>42</v>
      </c>
      <c r="M88">
        <v>0</v>
      </c>
      <c r="N88">
        <v>0</v>
      </c>
      <c r="O88">
        <v>8.3056119999999997E-2</v>
      </c>
      <c r="P88" s="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8" t="s">
        <v>42</v>
      </c>
      <c r="Z88" s="8" t="s">
        <v>42</v>
      </c>
      <c r="AA88" s="8" t="s">
        <v>42</v>
      </c>
    </row>
    <row r="89" spans="1:27" x14ac:dyDescent="0.25">
      <c r="A89">
        <v>0</v>
      </c>
      <c r="B89">
        <v>0.44</v>
      </c>
      <c r="C89">
        <v>88</v>
      </c>
      <c r="D89">
        <v>-0.91539999999999999</v>
      </c>
      <c r="E89">
        <v>5.2600000000000001E-2</v>
      </c>
      <c r="F89">
        <v>0</v>
      </c>
      <c r="G89">
        <v>0.91694388000000004</v>
      </c>
      <c r="H89">
        <v>0.99501143000000003</v>
      </c>
      <c r="I89">
        <v>0</v>
      </c>
      <c r="J89">
        <v>3.0842000000000001</v>
      </c>
      <c r="K89" s="8" t="s">
        <v>42</v>
      </c>
      <c r="L89" s="8" t="s">
        <v>42</v>
      </c>
      <c r="M89">
        <v>0</v>
      </c>
      <c r="N89">
        <v>0</v>
      </c>
      <c r="O89">
        <v>8.3056119999999997E-2</v>
      </c>
      <c r="P89" s="8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 s="8" t="s">
        <v>42</v>
      </c>
      <c r="Z89" s="8" t="s">
        <v>42</v>
      </c>
      <c r="AA89" s="8" t="s">
        <v>42</v>
      </c>
    </row>
    <row r="90" spans="1:27" x14ac:dyDescent="0.25">
      <c r="A90">
        <v>0</v>
      </c>
      <c r="B90">
        <v>0.44500000000000001</v>
      </c>
      <c r="C90">
        <v>89</v>
      </c>
      <c r="D90">
        <v>-0.91539999999999999</v>
      </c>
      <c r="E90">
        <v>5.2600000000000001E-2</v>
      </c>
      <c r="F90">
        <v>0</v>
      </c>
      <c r="G90">
        <v>0.91694388000000004</v>
      </c>
      <c r="H90">
        <v>0.99501143000000003</v>
      </c>
      <c r="I90">
        <v>0</v>
      </c>
      <c r="J90">
        <v>3.0842000000000001</v>
      </c>
      <c r="K90" s="8" t="s">
        <v>42</v>
      </c>
      <c r="L90" s="8" t="s">
        <v>42</v>
      </c>
      <c r="M90">
        <v>0</v>
      </c>
      <c r="N90">
        <v>0</v>
      </c>
      <c r="O90">
        <v>8.3056119999999997E-2</v>
      </c>
      <c r="P90" s="8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8" t="s">
        <v>42</v>
      </c>
      <c r="Z90" s="8" t="s">
        <v>42</v>
      </c>
      <c r="AA90" s="8" t="s">
        <v>42</v>
      </c>
    </row>
    <row r="91" spans="1:27" x14ac:dyDescent="0.25">
      <c r="A91">
        <v>0</v>
      </c>
      <c r="B91">
        <v>0.45</v>
      </c>
      <c r="C91">
        <v>90</v>
      </c>
      <c r="D91">
        <v>-0.91539999999999999</v>
      </c>
      <c r="E91">
        <v>5.2600000000000001E-2</v>
      </c>
      <c r="F91">
        <v>0</v>
      </c>
      <c r="G91">
        <v>0.91694388000000004</v>
      </c>
      <c r="H91">
        <v>0.99501143000000003</v>
      </c>
      <c r="I91">
        <v>0</v>
      </c>
      <c r="J91">
        <v>3.0842000000000001</v>
      </c>
      <c r="K91" s="8" t="s">
        <v>42</v>
      </c>
      <c r="L91" s="8" t="s">
        <v>42</v>
      </c>
      <c r="M91">
        <v>0</v>
      </c>
      <c r="N91">
        <v>0</v>
      </c>
      <c r="O91">
        <v>8.3056119999999997E-2</v>
      </c>
      <c r="P91" s="8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 s="8" t="s">
        <v>42</v>
      </c>
      <c r="Z91" s="8" t="s">
        <v>42</v>
      </c>
      <c r="AA91" s="8" t="s">
        <v>42</v>
      </c>
    </row>
    <row r="92" spans="1:27" x14ac:dyDescent="0.25">
      <c r="A92">
        <v>0</v>
      </c>
      <c r="B92">
        <v>0.45500000000000002</v>
      </c>
      <c r="C92">
        <v>91</v>
      </c>
      <c r="D92">
        <v>-0.91539999999999999</v>
      </c>
      <c r="E92">
        <v>5.2600000000000001E-2</v>
      </c>
      <c r="F92">
        <v>0</v>
      </c>
      <c r="G92">
        <v>0.91694388000000004</v>
      </c>
      <c r="H92">
        <v>0.99501143000000003</v>
      </c>
      <c r="I92">
        <v>0</v>
      </c>
      <c r="J92">
        <v>3.0842000000000001</v>
      </c>
      <c r="K92" s="8" t="s">
        <v>42</v>
      </c>
      <c r="L92" s="8" t="s">
        <v>42</v>
      </c>
      <c r="M92">
        <v>0</v>
      </c>
      <c r="N92">
        <v>0</v>
      </c>
      <c r="O92">
        <v>8.3056119999999997E-2</v>
      </c>
      <c r="P92" s="8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s="8" t="s">
        <v>42</v>
      </c>
      <c r="Z92" s="8" t="s">
        <v>42</v>
      </c>
      <c r="AA92" s="8" t="s">
        <v>42</v>
      </c>
    </row>
    <row r="93" spans="1:27" x14ac:dyDescent="0.25">
      <c r="A93">
        <v>0</v>
      </c>
      <c r="B93">
        <v>0.46</v>
      </c>
      <c r="C93">
        <v>92</v>
      </c>
      <c r="D93">
        <v>-0.91539999999999999</v>
      </c>
      <c r="E93">
        <v>5.2600000000000001E-2</v>
      </c>
      <c r="F93">
        <v>0</v>
      </c>
      <c r="G93">
        <v>0.91694388000000004</v>
      </c>
      <c r="H93">
        <v>0.99501143000000003</v>
      </c>
      <c r="I93">
        <v>0</v>
      </c>
      <c r="J93">
        <v>3.0842000000000001</v>
      </c>
      <c r="K93" s="8" t="s">
        <v>42</v>
      </c>
      <c r="L93" s="8" t="s">
        <v>42</v>
      </c>
      <c r="M93">
        <v>0</v>
      </c>
      <c r="N93">
        <v>0</v>
      </c>
      <c r="O93">
        <v>8.3056119999999997E-2</v>
      </c>
      <c r="P93" s="8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s="8" t="s">
        <v>42</v>
      </c>
      <c r="Z93" s="8" t="s">
        <v>42</v>
      </c>
      <c r="AA93" s="8" t="s">
        <v>42</v>
      </c>
    </row>
    <row r="94" spans="1:27" x14ac:dyDescent="0.25">
      <c r="A94">
        <v>0</v>
      </c>
      <c r="B94">
        <v>0.46500000000000002</v>
      </c>
      <c r="C94">
        <v>93</v>
      </c>
      <c r="D94">
        <v>-0.91539999999999999</v>
      </c>
      <c r="E94">
        <v>5.2600000000000001E-2</v>
      </c>
      <c r="F94">
        <v>0</v>
      </c>
      <c r="G94">
        <v>0.91694388000000004</v>
      </c>
      <c r="H94">
        <v>0.99501143000000003</v>
      </c>
      <c r="I94">
        <v>0</v>
      </c>
      <c r="J94">
        <v>3.0842000000000001</v>
      </c>
      <c r="K94" s="8" t="s">
        <v>42</v>
      </c>
      <c r="L94" s="8" t="s">
        <v>42</v>
      </c>
      <c r="M94">
        <v>0</v>
      </c>
      <c r="N94">
        <v>0</v>
      </c>
      <c r="O94">
        <v>8.3056119999999997E-2</v>
      </c>
      <c r="P94" s="8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s="8" t="s">
        <v>42</v>
      </c>
      <c r="Z94" s="8" t="s">
        <v>42</v>
      </c>
      <c r="AA94" s="8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05562-5BF9-496F-8CCC-4E0B6DDF1154}">
  <dimension ref="A1:AA94"/>
  <sheetViews>
    <sheetView workbookViewId="0">
      <selection sqref="A1:AA99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5" width="7.7109375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5703125" bestFit="1" customWidth="1"/>
    <col min="12" max="12" width="11.28515625" bestFit="1" customWidth="1"/>
    <col min="13" max="14" width="9.42578125" bestFit="1" customWidth="1"/>
    <col min="15" max="15" width="11" bestFit="1" customWidth="1"/>
    <col min="16" max="16" width="11.7109375" bestFit="1" customWidth="1"/>
    <col min="17" max="17" width="11" bestFit="1" customWidth="1"/>
    <col min="18" max="18" width="11.7109375" bestFit="1" customWidth="1"/>
    <col min="19" max="19" width="11" bestFit="1" customWidth="1"/>
    <col min="20" max="20" width="11.7109375" bestFit="1" customWidth="1"/>
    <col min="21" max="21" width="11" bestFit="1" customWidth="1"/>
    <col min="22" max="23" width="11.7109375" bestFit="1" customWidth="1"/>
    <col min="24" max="24" width="14.42578125" customWidth="1"/>
    <col min="25" max="26" width="11.7109375" bestFit="1" customWidth="1"/>
    <col min="27" max="27" width="10.5703125" bestFit="1" customWidth="1"/>
    <col min="28" max="28" width="11.42578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</v>
      </c>
      <c r="J1" t="s">
        <v>18</v>
      </c>
      <c r="K1" t="s">
        <v>37</v>
      </c>
      <c r="L1" t="s">
        <v>38</v>
      </c>
      <c r="M1" t="s">
        <v>9</v>
      </c>
      <c r="N1" t="s">
        <v>10</v>
      </c>
      <c r="O1" t="s">
        <v>8</v>
      </c>
      <c r="P1" t="s">
        <v>36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25</v>
      </c>
      <c r="Y1" t="s">
        <v>39</v>
      </c>
      <c r="Z1" t="s">
        <v>40</v>
      </c>
      <c r="AA1" t="s">
        <v>41</v>
      </c>
    </row>
    <row r="2" spans="1:27" x14ac:dyDescent="0.25">
      <c r="A2">
        <v>0</v>
      </c>
      <c r="B2">
        <v>5.0000000000000001E-3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8" t="s">
        <v>42</v>
      </c>
      <c r="L2" s="8" t="s">
        <v>42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8" t="s">
        <v>42</v>
      </c>
      <c r="Z2" s="8" t="s">
        <v>42</v>
      </c>
      <c r="AA2" s="8" t="s">
        <v>42</v>
      </c>
    </row>
    <row r="3" spans="1:27" x14ac:dyDescent="0.25">
      <c r="A3">
        <v>0</v>
      </c>
      <c r="B3">
        <v>0.01</v>
      </c>
      <c r="C3">
        <v>2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 s="8" t="s">
        <v>42</v>
      </c>
      <c r="L3" s="8" t="s">
        <v>42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8" t="s">
        <v>42</v>
      </c>
      <c r="Z3" s="8" t="s">
        <v>42</v>
      </c>
      <c r="AA3" s="8" t="s">
        <v>42</v>
      </c>
    </row>
    <row r="4" spans="1:27" x14ac:dyDescent="0.25">
      <c r="A4">
        <v>0</v>
      </c>
      <c r="B4">
        <v>1.4999999999999999E-2</v>
      </c>
      <c r="C4">
        <v>3</v>
      </c>
      <c r="D4">
        <v>1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 s="8" t="s">
        <v>42</v>
      </c>
      <c r="L4" s="8" t="s">
        <v>42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8" t="s">
        <v>42</v>
      </c>
      <c r="Z4" s="8" t="s">
        <v>42</v>
      </c>
      <c r="AA4" s="8" t="s">
        <v>42</v>
      </c>
    </row>
    <row r="5" spans="1:27" x14ac:dyDescent="0.25">
      <c r="A5">
        <v>0</v>
      </c>
      <c r="B5">
        <v>0.02</v>
      </c>
      <c r="C5">
        <v>4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 s="8" t="s">
        <v>42</v>
      </c>
      <c r="L5" s="8" t="s">
        <v>42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8" t="s">
        <v>42</v>
      </c>
      <c r="Z5" s="8" t="s">
        <v>42</v>
      </c>
      <c r="AA5" s="8" t="s">
        <v>42</v>
      </c>
    </row>
    <row r="6" spans="1:27" x14ac:dyDescent="0.25">
      <c r="A6">
        <v>0</v>
      </c>
      <c r="B6">
        <v>2.5000000000000001E-2</v>
      </c>
      <c r="C6">
        <v>5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 s="8" t="s">
        <v>42</v>
      </c>
      <c r="L6" s="8" t="s">
        <v>42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8" t="s">
        <v>42</v>
      </c>
      <c r="Z6" s="8" t="s">
        <v>42</v>
      </c>
      <c r="AA6" s="8" t="s">
        <v>42</v>
      </c>
    </row>
    <row r="7" spans="1:27" x14ac:dyDescent="0.25">
      <c r="A7">
        <v>0</v>
      </c>
      <c r="B7">
        <v>0.03</v>
      </c>
      <c r="C7">
        <v>6</v>
      </c>
      <c r="D7">
        <v>1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 s="8" t="s">
        <v>42</v>
      </c>
      <c r="L7" s="8" t="s">
        <v>42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8" t="s">
        <v>42</v>
      </c>
      <c r="Z7" s="8" t="s">
        <v>42</v>
      </c>
      <c r="AA7" s="8" t="s">
        <v>42</v>
      </c>
    </row>
    <row r="8" spans="1:27" x14ac:dyDescent="0.25">
      <c r="A8">
        <v>0</v>
      </c>
      <c r="B8">
        <v>3.5000000000000003E-2</v>
      </c>
      <c r="C8">
        <v>7</v>
      </c>
      <c r="D8">
        <v>1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 s="8" t="s">
        <v>42</v>
      </c>
      <c r="L8" s="8" t="s">
        <v>42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8" t="s">
        <v>42</v>
      </c>
      <c r="Z8" s="8" t="s">
        <v>42</v>
      </c>
      <c r="AA8" s="8" t="s">
        <v>42</v>
      </c>
    </row>
    <row r="9" spans="1:27" x14ac:dyDescent="0.25">
      <c r="A9">
        <v>0</v>
      </c>
      <c r="B9">
        <v>0.04</v>
      </c>
      <c r="C9">
        <v>8</v>
      </c>
      <c r="D9">
        <v>1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 s="8" t="s">
        <v>42</v>
      </c>
      <c r="L9" s="8" t="s">
        <v>42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8" t="s">
        <v>42</v>
      </c>
      <c r="Z9" s="8" t="s">
        <v>42</v>
      </c>
      <c r="AA9" s="8" t="s">
        <v>42</v>
      </c>
    </row>
    <row r="10" spans="1:27" x14ac:dyDescent="0.25">
      <c r="A10">
        <v>0</v>
      </c>
      <c r="B10">
        <v>4.4999999999999998E-2</v>
      </c>
      <c r="C10">
        <v>9</v>
      </c>
      <c r="D10">
        <v>1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 s="8" t="s">
        <v>42</v>
      </c>
      <c r="L10" s="8" t="s">
        <v>42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8" t="s">
        <v>42</v>
      </c>
      <c r="Z10" s="8" t="s">
        <v>42</v>
      </c>
      <c r="AA10" s="8" t="s">
        <v>42</v>
      </c>
    </row>
    <row r="11" spans="1:27" x14ac:dyDescent="0.25">
      <c r="A11">
        <v>0</v>
      </c>
      <c r="B11">
        <v>0.05</v>
      </c>
      <c r="C11">
        <v>10</v>
      </c>
      <c r="D11">
        <v>1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 s="8" t="s">
        <v>42</v>
      </c>
      <c r="L11" s="8" t="s">
        <v>42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8" t="s">
        <v>42</v>
      </c>
      <c r="Z11" s="8" t="s">
        <v>42</v>
      </c>
      <c r="AA11" s="8" t="s">
        <v>42</v>
      </c>
    </row>
    <row r="12" spans="1:27" x14ac:dyDescent="0.25">
      <c r="A12">
        <v>0</v>
      </c>
      <c r="B12">
        <v>5.5E-2</v>
      </c>
      <c r="C12">
        <v>11</v>
      </c>
      <c r="D12">
        <v>1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 s="8" t="s">
        <v>42</v>
      </c>
      <c r="L12" s="8" t="s">
        <v>42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8" t="s">
        <v>42</v>
      </c>
      <c r="Z12" s="8" t="s">
        <v>42</v>
      </c>
      <c r="AA12" s="8" t="s">
        <v>42</v>
      </c>
    </row>
    <row r="13" spans="1:27" x14ac:dyDescent="0.25">
      <c r="A13">
        <v>0</v>
      </c>
      <c r="B13">
        <v>0.06</v>
      </c>
      <c r="C13">
        <v>12</v>
      </c>
      <c r="D13">
        <v>1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 s="8" t="s">
        <v>42</v>
      </c>
      <c r="L13" s="8" t="s">
        <v>42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8" t="s">
        <v>42</v>
      </c>
      <c r="Z13" s="8" t="s">
        <v>42</v>
      </c>
      <c r="AA13" s="8" t="s">
        <v>42</v>
      </c>
    </row>
    <row r="14" spans="1:27" x14ac:dyDescent="0.25">
      <c r="A14">
        <v>0</v>
      </c>
      <c r="B14">
        <v>6.5000000000000002E-2</v>
      </c>
      <c r="C14">
        <v>13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  <c r="K14" s="8" t="s">
        <v>42</v>
      </c>
      <c r="L14" s="8" t="s">
        <v>42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8" t="s">
        <v>42</v>
      </c>
      <c r="Z14" s="8" t="s">
        <v>42</v>
      </c>
      <c r="AA14" s="8" t="s">
        <v>42</v>
      </c>
    </row>
    <row r="15" spans="1:27" x14ac:dyDescent="0.25">
      <c r="A15">
        <v>0</v>
      </c>
      <c r="B15">
        <v>7.0000000000000007E-2</v>
      </c>
      <c r="C15">
        <v>14</v>
      </c>
      <c r="D15">
        <v>0.99990000000000001</v>
      </c>
      <c r="E15">
        <v>0</v>
      </c>
      <c r="F15">
        <v>0</v>
      </c>
      <c r="G15">
        <v>0.99992334999999999</v>
      </c>
      <c r="H15">
        <v>1</v>
      </c>
      <c r="I15">
        <v>0</v>
      </c>
      <c r="J15">
        <v>6.2831000000000001</v>
      </c>
      <c r="K15" s="8" t="s">
        <v>42</v>
      </c>
      <c r="L15" s="8" t="s">
        <v>42</v>
      </c>
      <c r="M15">
        <v>0</v>
      </c>
      <c r="N15">
        <v>0</v>
      </c>
      <c r="O15">
        <v>7.6650000000000006E-5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8" t="s">
        <v>42</v>
      </c>
      <c r="Z15" s="8" t="s">
        <v>42</v>
      </c>
      <c r="AA15" s="8" t="s">
        <v>42</v>
      </c>
    </row>
    <row r="16" spans="1:27" x14ac:dyDescent="0.25">
      <c r="A16">
        <v>0</v>
      </c>
      <c r="B16">
        <v>7.4999999999999997E-2</v>
      </c>
      <c r="C16">
        <v>15</v>
      </c>
      <c r="D16">
        <v>0.99919999999999998</v>
      </c>
      <c r="E16">
        <v>-4.0000000000000002E-4</v>
      </c>
      <c r="F16">
        <v>0</v>
      </c>
      <c r="G16">
        <v>0.99924444999999995</v>
      </c>
      <c r="H16">
        <v>1</v>
      </c>
      <c r="I16">
        <v>0</v>
      </c>
      <c r="J16">
        <v>6.2827000000000002</v>
      </c>
      <c r="K16" s="8" t="s">
        <v>42</v>
      </c>
      <c r="L16" s="8" t="s">
        <v>42</v>
      </c>
      <c r="M16">
        <v>0</v>
      </c>
      <c r="N16">
        <v>0</v>
      </c>
      <c r="O16">
        <v>7.5555000000000001E-4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8" t="s">
        <v>42</v>
      </c>
      <c r="Z16" s="8" t="s">
        <v>42</v>
      </c>
      <c r="AA16" s="8" t="s">
        <v>42</v>
      </c>
    </row>
    <row r="17" spans="1:27" x14ac:dyDescent="0.25">
      <c r="A17">
        <v>0</v>
      </c>
      <c r="B17">
        <v>0.08</v>
      </c>
      <c r="C17">
        <v>16</v>
      </c>
      <c r="D17">
        <v>0.99770000000000003</v>
      </c>
      <c r="E17">
        <v>-1.4E-3</v>
      </c>
      <c r="F17">
        <v>0</v>
      </c>
      <c r="G17">
        <v>0.99767108999999998</v>
      </c>
      <c r="H17">
        <v>1</v>
      </c>
      <c r="I17">
        <v>0</v>
      </c>
      <c r="J17">
        <v>6.2817999999999996</v>
      </c>
      <c r="K17" s="8" t="s">
        <v>42</v>
      </c>
      <c r="L17" s="8" t="s">
        <v>42</v>
      </c>
      <c r="M17">
        <v>0</v>
      </c>
      <c r="N17">
        <v>0</v>
      </c>
      <c r="O17">
        <v>2.32891E-3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8" t="s">
        <v>42</v>
      </c>
      <c r="Z17" s="8" t="s">
        <v>42</v>
      </c>
      <c r="AA17" s="8" t="s">
        <v>42</v>
      </c>
    </row>
    <row r="18" spans="1:27" x14ac:dyDescent="0.25">
      <c r="A18">
        <v>0</v>
      </c>
      <c r="B18">
        <v>8.5000000000000006E-2</v>
      </c>
      <c r="C18">
        <v>17</v>
      </c>
      <c r="D18">
        <v>0.995</v>
      </c>
      <c r="E18">
        <v>-3.0999999999999999E-3</v>
      </c>
      <c r="F18">
        <v>2.3993E-3</v>
      </c>
      <c r="G18">
        <v>0.99501143000000003</v>
      </c>
      <c r="H18">
        <v>0.99501143000000003</v>
      </c>
      <c r="I18">
        <v>0</v>
      </c>
      <c r="J18">
        <v>6.2801</v>
      </c>
      <c r="K18" s="8" t="s">
        <v>42</v>
      </c>
      <c r="L18" s="8" t="s">
        <v>42</v>
      </c>
      <c r="M18">
        <v>0</v>
      </c>
      <c r="N18">
        <v>0</v>
      </c>
      <c r="O18">
        <v>4.9885700000000003E-3</v>
      </c>
      <c r="P18">
        <v>-4.7110000000000001E-4</v>
      </c>
      <c r="Q18">
        <v>4.7110000000000001E-4</v>
      </c>
      <c r="R18">
        <v>-4.7110000000000001E-4</v>
      </c>
      <c r="S18">
        <v>1.9950066799999999</v>
      </c>
      <c r="T18">
        <v>-3.0732699999999999E-3</v>
      </c>
      <c r="U18">
        <v>1.99500905</v>
      </c>
      <c r="V18">
        <v>-2.4833E-4</v>
      </c>
      <c r="W18">
        <v>1.9099000000000001E-4</v>
      </c>
      <c r="X18">
        <v>0</v>
      </c>
      <c r="Y18" s="8" t="s">
        <v>43</v>
      </c>
      <c r="Z18" s="8" t="s">
        <v>42</v>
      </c>
      <c r="AA18" s="8" t="s">
        <v>42</v>
      </c>
    </row>
    <row r="19" spans="1:27" x14ac:dyDescent="0.25">
      <c r="A19">
        <v>0</v>
      </c>
      <c r="B19">
        <v>0.09</v>
      </c>
      <c r="C19">
        <v>18</v>
      </c>
      <c r="D19">
        <v>0.98829999999999996</v>
      </c>
      <c r="E19">
        <v>-7.0000000000000001E-3</v>
      </c>
      <c r="F19">
        <v>6.7162599999999999E-3</v>
      </c>
      <c r="G19">
        <v>0.98829149000000005</v>
      </c>
      <c r="H19">
        <v>0.99501143000000003</v>
      </c>
      <c r="I19">
        <v>0</v>
      </c>
      <c r="J19">
        <v>6.2760999999999996</v>
      </c>
      <c r="K19" s="8" t="s">
        <v>352</v>
      </c>
      <c r="L19" s="8" t="s">
        <v>42</v>
      </c>
      <c r="M19">
        <v>0</v>
      </c>
      <c r="N19">
        <v>0</v>
      </c>
      <c r="O19">
        <v>1.170851E-2</v>
      </c>
      <c r="P19">
        <v>-1.78984E-3</v>
      </c>
      <c r="Q19">
        <v>1.3187299999999999E-3</v>
      </c>
      <c r="R19">
        <v>-8.4763000000000004E-4</v>
      </c>
      <c r="S19">
        <v>1.9950066799999999</v>
      </c>
      <c r="T19">
        <v>-3.0732699999999999E-3</v>
      </c>
      <c r="U19">
        <v>1.99500905</v>
      </c>
      <c r="V19">
        <v>-9.3676999999999996E-4</v>
      </c>
      <c r="W19">
        <v>7.3424000000000004E-4</v>
      </c>
      <c r="X19">
        <v>0</v>
      </c>
      <c r="Y19" s="8" t="s">
        <v>64</v>
      </c>
      <c r="Z19" s="8" t="s">
        <v>65</v>
      </c>
      <c r="AA19" s="8" t="s">
        <v>66</v>
      </c>
    </row>
    <row r="20" spans="1:27" x14ac:dyDescent="0.25">
      <c r="A20">
        <v>0</v>
      </c>
      <c r="B20">
        <v>9.5000000000000001E-2</v>
      </c>
      <c r="C20">
        <v>19</v>
      </c>
      <c r="D20">
        <v>0.98040000000000005</v>
      </c>
      <c r="E20">
        <v>-1.09E-2</v>
      </c>
      <c r="F20">
        <v>1.2196719999999999E-2</v>
      </c>
      <c r="G20">
        <v>0.98041606000000003</v>
      </c>
      <c r="H20">
        <v>0.99501143000000003</v>
      </c>
      <c r="I20">
        <v>0</v>
      </c>
      <c r="J20">
        <v>6.2721</v>
      </c>
      <c r="K20" s="8" t="s">
        <v>353</v>
      </c>
      <c r="L20" s="8" t="s">
        <v>354</v>
      </c>
      <c r="M20">
        <v>0</v>
      </c>
      <c r="N20">
        <v>0</v>
      </c>
      <c r="O20">
        <v>1.9583940000000001E-2</v>
      </c>
      <c r="P20">
        <v>-3.7135599999999999E-3</v>
      </c>
      <c r="Q20">
        <v>2.3948200000000002E-3</v>
      </c>
      <c r="R20">
        <v>-1.07609E-3</v>
      </c>
      <c r="S20">
        <v>1.9950066799999999</v>
      </c>
      <c r="T20">
        <v>-3.0732699999999999E-3</v>
      </c>
      <c r="U20">
        <v>1.99500905</v>
      </c>
      <c r="V20">
        <v>-1.92592E-3</v>
      </c>
      <c r="W20">
        <v>1.54569E-3</v>
      </c>
      <c r="X20">
        <v>0</v>
      </c>
      <c r="Y20" s="8" t="s">
        <v>69</v>
      </c>
      <c r="Z20" s="8" t="s">
        <v>70</v>
      </c>
      <c r="AA20" s="8" t="s">
        <v>71</v>
      </c>
    </row>
    <row r="21" spans="1:27" x14ac:dyDescent="0.25">
      <c r="A21">
        <v>0</v>
      </c>
      <c r="B21">
        <v>0.1</v>
      </c>
      <c r="C21">
        <v>20</v>
      </c>
      <c r="D21">
        <v>0.96960000000000002</v>
      </c>
      <c r="E21">
        <v>-1.5299999999999999E-2</v>
      </c>
      <c r="F21">
        <v>1.8541180000000001E-2</v>
      </c>
      <c r="G21">
        <v>0.96969671999999996</v>
      </c>
      <c r="H21">
        <v>0.99501143000000003</v>
      </c>
      <c r="I21">
        <v>0</v>
      </c>
      <c r="J21">
        <v>6.2674000000000003</v>
      </c>
      <c r="K21" s="8" t="s">
        <v>355</v>
      </c>
      <c r="L21" s="8" t="s">
        <v>356</v>
      </c>
      <c r="M21">
        <v>0</v>
      </c>
      <c r="N21">
        <v>0</v>
      </c>
      <c r="O21">
        <v>3.0303279999999998E-2</v>
      </c>
      <c r="P21">
        <v>-6.03537E-3</v>
      </c>
      <c r="Q21">
        <v>3.6405500000000002E-3</v>
      </c>
      <c r="R21">
        <v>-1.24573E-3</v>
      </c>
      <c r="S21">
        <v>1.9950066799999999</v>
      </c>
      <c r="T21">
        <v>-3.0732699999999999E-3</v>
      </c>
      <c r="U21">
        <v>1.99500905</v>
      </c>
      <c r="V21">
        <v>-3.0985600000000002E-3</v>
      </c>
      <c r="W21">
        <v>2.55084E-3</v>
      </c>
      <c r="X21">
        <v>0</v>
      </c>
      <c r="Y21" s="8" t="s">
        <v>74</v>
      </c>
      <c r="Z21" s="8" t="s">
        <v>75</v>
      </c>
      <c r="AA21" s="8" t="s">
        <v>76</v>
      </c>
    </row>
    <row r="22" spans="1:27" x14ac:dyDescent="0.25">
      <c r="A22">
        <v>0</v>
      </c>
      <c r="B22">
        <v>0.105</v>
      </c>
      <c r="C22">
        <v>21</v>
      </c>
      <c r="D22">
        <v>0.95569999999999999</v>
      </c>
      <c r="E22">
        <v>-2.0299999999999999E-2</v>
      </c>
      <c r="F22">
        <v>2.5554609999999998E-2</v>
      </c>
      <c r="G22">
        <v>0.95589393</v>
      </c>
      <c r="H22">
        <v>0.99501143000000003</v>
      </c>
      <c r="I22">
        <v>0</v>
      </c>
      <c r="J22">
        <v>6.2619999999999996</v>
      </c>
      <c r="K22" s="8" t="s">
        <v>357</v>
      </c>
      <c r="L22" s="8" t="s">
        <v>358</v>
      </c>
      <c r="M22">
        <v>0</v>
      </c>
      <c r="N22">
        <v>0</v>
      </c>
      <c r="O22">
        <v>4.4106069999999997E-2</v>
      </c>
      <c r="P22">
        <v>-8.6581899999999996E-3</v>
      </c>
      <c r="Q22">
        <v>5.0176400000000003E-3</v>
      </c>
      <c r="R22">
        <v>-1.3770799999999999E-3</v>
      </c>
      <c r="S22">
        <v>1.9950066799999999</v>
      </c>
      <c r="T22">
        <v>-3.0732699999999999E-3</v>
      </c>
      <c r="U22">
        <v>1.99500905</v>
      </c>
      <c r="V22">
        <v>-4.3973199999999997E-3</v>
      </c>
      <c r="W22">
        <v>3.7166399999999998E-3</v>
      </c>
      <c r="X22">
        <v>0</v>
      </c>
      <c r="Y22" s="8" t="s">
        <v>79</v>
      </c>
      <c r="Z22" s="8" t="s">
        <v>80</v>
      </c>
      <c r="AA22" s="8" t="s">
        <v>81</v>
      </c>
    </row>
    <row r="23" spans="1:27" x14ac:dyDescent="0.25">
      <c r="A23">
        <v>0</v>
      </c>
      <c r="B23">
        <v>0.11</v>
      </c>
      <c r="C23">
        <v>22</v>
      </c>
      <c r="D23">
        <v>0.9385</v>
      </c>
      <c r="E23">
        <v>-2.5700000000000001E-2</v>
      </c>
      <c r="F23">
        <v>3.3087329999999998E-2</v>
      </c>
      <c r="G23">
        <v>0.93885876999999995</v>
      </c>
      <c r="H23">
        <v>0.99501143000000003</v>
      </c>
      <c r="I23">
        <v>0</v>
      </c>
      <c r="J23">
        <v>6.2557999999999998</v>
      </c>
      <c r="K23" s="8" t="s">
        <v>359</v>
      </c>
      <c r="L23" s="8" t="s">
        <v>360</v>
      </c>
      <c r="M23">
        <v>0</v>
      </c>
      <c r="N23">
        <v>0</v>
      </c>
      <c r="O23">
        <v>6.1141229999999998E-2</v>
      </c>
      <c r="P23">
        <v>-1.151432E-2</v>
      </c>
      <c r="Q23">
        <v>6.4966800000000003E-3</v>
      </c>
      <c r="R23">
        <v>-1.47904E-3</v>
      </c>
      <c r="S23">
        <v>1.9950066799999999</v>
      </c>
      <c r="T23">
        <v>-3.0732699999999999E-3</v>
      </c>
      <c r="U23">
        <v>1.99500905</v>
      </c>
      <c r="V23">
        <v>-5.7814600000000004E-3</v>
      </c>
      <c r="W23">
        <v>5.0202099999999998E-3</v>
      </c>
      <c r="X23">
        <v>0</v>
      </c>
      <c r="Y23" s="8" t="s">
        <v>84</v>
      </c>
      <c r="Z23" s="8" t="s">
        <v>85</v>
      </c>
      <c r="AA23" s="8" t="s">
        <v>86</v>
      </c>
    </row>
    <row r="24" spans="1:27" x14ac:dyDescent="0.25">
      <c r="A24">
        <v>0</v>
      </c>
      <c r="B24">
        <v>0.115</v>
      </c>
      <c r="C24">
        <v>23</v>
      </c>
      <c r="D24">
        <v>0.91800000000000004</v>
      </c>
      <c r="E24">
        <v>-3.15E-2</v>
      </c>
      <c r="F24">
        <v>4.1014099999999998E-2</v>
      </c>
      <c r="G24">
        <v>0.91851432</v>
      </c>
      <c r="H24">
        <v>0.99501143000000003</v>
      </c>
      <c r="I24">
        <v>0</v>
      </c>
      <c r="J24">
        <v>6.2488999999999999</v>
      </c>
      <c r="K24" s="8" t="s">
        <v>361</v>
      </c>
      <c r="L24" s="8" t="s">
        <v>362</v>
      </c>
      <c r="M24">
        <v>0</v>
      </c>
      <c r="N24">
        <v>0</v>
      </c>
      <c r="O24">
        <v>8.1485680000000005E-2</v>
      </c>
      <c r="P24">
        <v>-1.454978E-2</v>
      </c>
      <c r="Q24">
        <v>8.0531000000000005E-3</v>
      </c>
      <c r="R24">
        <v>-1.55642E-3</v>
      </c>
      <c r="S24">
        <v>1.9950066799999999</v>
      </c>
      <c r="T24">
        <v>-3.0732699999999999E-3</v>
      </c>
      <c r="U24">
        <v>1.99500905</v>
      </c>
      <c r="V24">
        <v>-7.2183500000000001E-3</v>
      </c>
      <c r="W24">
        <v>6.4427599999999996E-3</v>
      </c>
      <c r="X24">
        <v>0</v>
      </c>
      <c r="Y24" s="8" t="s">
        <v>89</v>
      </c>
      <c r="Z24" s="8" t="s">
        <v>90</v>
      </c>
      <c r="AA24" s="8" t="s">
        <v>91</v>
      </c>
    </row>
    <row r="25" spans="1:27" x14ac:dyDescent="0.25">
      <c r="A25">
        <v>0</v>
      </c>
      <c r="B25">
        <v>0.12</v>
      </c>
      <c r="C25">
        <v>24</v>
      </c>
      <c r="D25">
        <v>0.89410000000000001</v>
      </c>
      <c r="E25">
        <v>-3.7699999999999997E-2</v>
      </c>
      <c r="F25">
        <v>4.9224959999999998E-2</v>
      </c>
      <c r="G25">
        <v>0.89484587000000004</v>
      </c>
      <c r="H25">
        <v>0.99501143000000003</v>
      </c>
      <c r="I25">
        <v>0</v>
      </c>
      <c r="J25">
        <v>6.2411000000000003</v>
      </c>
      <c r="K25" s="8" t="s">
        <v>363</v>
      </c>
      <c r="L25" s="8" t="s">
        <v>364</v>
      </c>
      <c r="M25">
        <v>0</v>
      </c>
      <c r="N25">
        <v>0</v>
      </c>
      <c r="O25">
        <v>0.10515413</v>
      </c>
      <c r="P25">
        <v>-1.7718399999999999E-2</v>
      </c>
      <c r="Q25">
        <v>9.6652999999999999E-3</v>
      </c>
      <c r="R25">
        <v>-1.6122E-3</v>
      </c>
      <c r="S25">
        <v>1.9950066799999999</v>
      </c>
      <c r="T25">
        <v>-3.0732699999999999E-3</v>
      </c>
      <c r="U25">
        <v>1.99500905</v>
      </c>
      <c r="V25">
        <v>-8.6803899999999996E-3</v>
      </c>
      <c r="W25">
        <v>7.96731E-3</v>
      </c>
      <c r="X25">
        <v>0</v>
      </c>
      <c r="Y25" s="8" t="s">
        <v>94</v>
      </c>
      <c r="Z25" s="8" t="s">
        <v>95</v>
      </c>
      <c r="AA25" s="8" t="s">
        <v>96</v>
      </c>
    </row>
    <row r="26" spans="1:27" x14ac:dyDescent="0.25">
      <c r="A26">
        <v>0</v>
      </c>
      <c r="B26">
        <v>0.125</v>
      </c>
      <c r="C26">
        <v>25</v>
      </c>
      <c r="D26">
        <v>0.86680000000000001</v>
      </c>
      <c r="E26">
        <v>-4.4200000000000003E-2</v>
      </c>
      <c r="F26">
        <v>5.7620629999999999E-2</v>
      </c>
      <c r="G26">
        <v>0.86789437999999997</v>
      </c>
      <c r="H26">
        <v>0.99501143000000003</v>
      </c>
      <c r="I26">
        <v>0</v>
      </c>
      <c r="J26">
        <v>6.2321999999999997</v>
      </c>
      <c r="K26" s="8" t="s">
        <v>365</v>
      </c>
      <c r="L26" s="8" t="s">
        <v>366</v>
      </c>
      <c r="M26">
        <v>0</v>
      </c>
      <c r="N26">
        <v>0</v>
      </c>
      <c r="O26">
        <v>0.13210562000000001</v>
      </c>
      <c r="P26">
        <v>-2.0979080000000001E-2</v>
      </c>
      <c r="Q26">
        <v>1.1313780000000001E-2</v>
      </c>
      <c r="R26">
        <v>-1.6484900000000001E-3</v>
      </c>
      <c r="S26">
        <v>1.9950066799999999</v>
      </c>
      <c r="T26">
        <v>-3.0732699999999999E-3</v>
      </c>
      <c r="U26">
        <v>1.99500905</v>
      </c>
      <c r="V26">
        <v>-1.0143579999999999E-2</v>
      </c>
      <c r="W26">
        <v>9.5777099999999997E-3</v>
      </c>
      <c r="X26">
        <v>0</v>
      </c>
      <c r="Y26" s="8" t="s">
        <v>99</v>
      </c>
      <c r="Z26" s="8" t="s">
        <v>100</v>
      </c>
      <c r="AA26" s="8" t="s">
        <v>101</v>
      </c>
    </row>
    <row r="27" spans="1:27" x14ac:dyDescent="0.25">
      <c r="A27">
        <v>0</v>
      </c>
      <c r="B27">
        <v>0.13</v>
      </c>
      <c r="C27">
        <v>26</v>
      </c>
      <c r="D27">
        <v>0.83620000000000005</v>
      </c>
      <c r="E27">
        <v>-5.0999999999999997E-2</v>
      </c>
      <c r="F27">
        <v>6.6110189999999999E-2</v>
      </c>
      <c r="G27">
        <v>0.83775138999999998</v>
      </c>
      <c r="H27">
        <v>0.99501143000000003</v>
      </c>
      <c r="I27">
        <v>0</v>
      </c>
      <c r="J27">
        <v>6.2222</v>
      </c>
      <c r="K27" s="8" t="s">
        <v>367</v>
      </c>
      <c r="L27" s="8" t="s">
        <v>368</v>
      </c>
      <c r="M27">
        <v>0</v>
      </c>
      <c r="N27">
        <v>0</v>
      </c>
      <c r="O27">
        <v>0.16224860999999999</v>
      </c>
      <c r="P27">
        <v>-2.4294489999999998E-2</v>
      </c>
      <c r="Q27">
        <v>1.2980709999999999E-2</v>
      </c>
      <c r="R27">
        <v>-1.6669199999999999E-3</v>
      </c>
      <c r="S27">
        <v>1.9950066799999999</v>
      </c>
      <c r="T27">
        <v>-3.0732699999999999E-3</v>
      </c>
      <c r="U27">
        <v>1.99500905</v>
      </c>
      <c r="V27">
        <v>-1.1586870000000001E-2</v>
      </c>
      <c r="W27">
        <v>1.125808E-2</v>
      </c>
      <c r="X27">
        <v>0</v>
      </c>
      <c r="Y27" s="8" t="s">
        <v>104</v>
      </c>
      <c r="Z27" s="8" t="s">
        <v>105</v>
      </c>
      <c r="AA27" s="8" t="s">
        <v>106</v>
      </c>
    </row>
    <row r="28" spans="1:27" x14ac:dyDescent="0.25">
      <c r="A28">
        <v>0</v>
      </c>
      <c r="B28">
        <v>0.13500000000000001</v>
      </c>
      <c r="C28">
        <v>27</v>
      </c>
      <c r="D28">
        <v>0.80249999999999999</v>
      </c>
      <c r="E28">
        <v>-5.8099999999999999E-2</v>
      </c>
      <c r="F28">
        <v>7.4609819999999993E-2</v>
      </c>
      <c r="G28">
        <v>0.80455460999999995</v>
      </c>
      <c r="H28">
        <v>0.99501143000000003</v>
      </c>
      <c r="I28">
        <v>0</v>
      </c>
      <c r="J28">
        <v>6.2108999999999996</v>
      </c>
      <c r="K28" s="8" t="s">
        <v>369</v>
      </c>
      <c r="L28" s="8" t="s">
        <v>370</v>
      </c>
      <c r="M28">
        <v>0</v>
      </c>
      <c r="N28">
        <v>0</v>
      </c>
      <c r="O28">
        <v>0.19544539</v>
      </c>
      <c r="P28">
        <v>-2.7630310000000002E-2</v>
      </c>
      <c r="Q28">
        <v>1.46496E-2</v>
      </c>
      <c r="R28">
        <v>-1.6689000000000001E-3</v>
      </c>
      <c r="S28">
        <v>1.9950066799999999</v>
      </c>
      <c r="T28">
        <v>-3.0732699999999999E-3</v>
      </c>
      <c r="U28">
        <v>1.99500905</v>
      </c>
      <c r="V28">
        <v>-1.299179E-2</v>
      </c>
      <c r="W28">
        <v>1.299263E-2</v>
      </c>
      <c r="X28">
        <v>0</v>
      </c>
      <c r="Y28" s="8" t="s">
        <v>109</v>
      </c>
      <c r="Z28" s="8" t="s">
        <v>110</v>
      </c>
      <c r="AA28" s="8" t="s">
        <v>111</v>
      </c>
    </row>
    <row r="29" spans="1:27" x14ac:dyDescent="0.25">
      <c r="A29">
        <v>0</v>
      </c>
      <c r="B29">
        <v>0.14000000000000001</v>
      </c>
      <c r="C29">
        <v>28</v>
      </c>
      <c r="D29">
        <v>0.76570000000000005</v>
      </c>
      <c r="E29">
        <v>-6.54E-2</v>
      </c>
      <c r="F29">
        <v>8.3042199999999997E-2</v>
      </c>
      <c r="G29">
        <v>0.76848380000000005</v>
      </c>
      <c r="H29">
        <v>0.99501143000000003</v>
      </c>
      <c r="I29">
        <v>0</v>
      </c>
      <c r="J29">
        <v>6.1980000000000004</v>
      </c>
      <c r="K29" s="8" t="s">
        <v>371</v>
      </c>
      <c r="L29" s="8" t="s">
        <v>372</v>
      </c>
      <c r="M29">
        <v>0</v>
      </c>
      <c r="N29">
        <v>0</v>
      </c>
      <c r="O29">
        <v>0.23151620000000001</v>
      </c>
      <c r="P29">
        <v>-3.09549E-2</v>
      </c>
      <c r="Q29">
        <v>1.6305299999999998E-2</v>
      </c>
      <c r="R29">
        <v>-1.65569E-3</v>
      </c>
      <c r="S29">
        <v>1.9950066799999999</v>
      </c>
      <c r="T29">
        <v>-3.0732699999999999E-3</v>
      </c>
      <c r="U29">
        <v>1.99500905</v>
      </c>
      <c r="V29">
        <v>-1.434233E-2</v>
      </c>
      <c r="W29">
        <v>1.4765550000000001E-2</v>
      </c>
      <c r="X29">
        <v>0</v>
      </c>
      <c r="Y29" s="8" t="s">
        <v>114</v>
      </c>
      <c r="Z29" s="8" t="s">
        <v>115</v>
      </c>
      <c r="AA29" s="8" t="s">
        <v>116</v>
      </c>
    </row>
    <row r="30" spans="1:27" x14ac:dyDescent="0.25">
      <c r="A30">
        <v>0</v>
      </c>
      <c r="B30">
        <v>0.14499999999999999</v>
      </c>
      <c r="C30">
        <v>29</v>
      </c>
      <c r="D30">
        <v>0.72609999999999997</v>
      </c>
      <c r="E30">
        <v>-7.2900000000000006E-2</v>
      </c>
      <c r="F30">
        <v>9.1336210000000001E-2</v>
      </c>
      <c r="G30">
        <v>0.72975701999999998</v>
      </c>
      <c r="H30">
        <v>0.99501143000000003</v>
      </c>
      <c r="I30">
        <v>0</v>
      </c>
      <c r="J30">
        <v>6.1832000000000003</v>
      </c>
      <c r="K30" s="8" t="s">
        <v>373</v>
      </c>
      <c r="L30" s="8" t="s">
        <v>374</v>
      </c>
      <c r="M30">
        <v>0</v>
      </c>
      <c r="N30">
        <v>0</v>
      </c>
      <c r="O30">
        <v>0.27024298000000002</v>
      </c>
      <c r="P30">
        <v>-3.4239119999999998E-2</v>
      </c>
      <c r="Q30">
        <v>1.793382E-2</v>
      </c>
      <c r="R30">
        <v>-1.62853E-3</v>
      </c>
      <c r="S30">
        <v>1.9950066799999999</v>
      </c>
      <c r="T30">
        <v>-3.0732699999999999E-3</v>
      </c>
      <c r="U30">
        <v>1.99500905</v>
      </c>
      <c r="V30">
        <v>-1.5624849999999999E-2</v>
      </c>
      <c r="W30">
        <v>1.6561079999999999E-2</v>
      </c>
      <c r="X30">
        <v>0</v>
      </c>
      <c r="Y30" s="8" t="s">
        <v>119</v>
      </c>
      <c r="Z30" s="8" t="s">
        <v>120</v>
      </c>
      <c r="AA30" s="8" t="s">
        <v>121</v>
      </c>
    </row>
    <row r="31" spans="1:27" x14ac:dyDescent="0.25">
      <c r="A31">
        <v>0</v>
      </c>
      <c r="B31">
        <v>0.15</v>
      </c>
      <c r="C31">
        <v>30</v>
      </c>
      <c r="D31">
        <v>0.68389999999999995</v>
      </c>
      <c r="E31">
        <v>-8.0399999999999999E-2</v>
      </c>
      <c r="F31">
        <v>9.9426810000000004E-2</v>
      </c>
      <c r="G31">
        <v>0.68862729</v>
      </c>
      <c r="H31">
        <v>0.99501143000000003</v>
      </c>
      <c r="I31">
        <v>0</v>
      </c>
      <c r="J31">
        <v>6.1661000000000001</v>
      </c>
      <c r="K31" s="8" t="s">
        <v>375</v>
      </c>
      <c r="L31" s="8" t="s">
        <v>376</v>
      </c>
      <c r="M31">
        <v>0</v>
      </c>
      <c r="N31">
        <v>0</v>
      </c>
      <c r="O31">
        <v>0.31137271</v>
      </c>
      <c r="P31">
        <v>-3.745623E-2</v>
      </c>
      <c r="Q31">
        <v>1.952241E-2</v>
      </c>
      <c r="R31">
        <v>-1.58859E-3</v>
      </c>
      <c r="S31">
        <v>1.9950066799999999</v>
      </c>
      <c r="T31">
        <v>-3.0732699999999999E-3</v>
      </c>
      <c r="U31">
        <v>1.99500905</v>
      </c>
      <c r="V31">
        <v>-1.6827970000000001E-2</v>
      </c>
      <c r="W31">
        <v>1.8363560000000001E-2</v>
      </c>
      <c r="X31">
        <v>0</v>
      </c>
      <c r="Y31" s="8" t="s">
        <v>124</v>
      </c>
      <c r="Z31" s="8" t="s">
        <v>125</v>
      </c>
      <c r="AA31" s="8" t="s">
        <v>126</v>
      </c>
    </row>
    <row r="32" spans="1:27" x14ac:dyDescent="0.25">
      <c r="A32">
        <v>0</v>
      </c>
      <c r="B32">
        <v>0.155</v>
      </c>
      <c r="C32">
        <v>31</v>
      </c>
      <c r="D32">
        <v>0.63929999999999998</v>
      </c>
      <c r="E32">
        <v>-8.8099999999999998E-2</v>
      </c>
      <c r="F32">
        <v>0.10725496</v>
      </c>
      <c r="G32">
        <v>0.64537997000000003</v>
      </c>
      <c r="H32">
        <v>0.99501143000000003</v>
      </c>
      <c r="I32">
        <v>0</v>
      </c>
      <c r="J32">
        <v>6.1463000000000001</v>
      </c>
      <c r="K32" s="8" t="s">
        <v>377</v>
      </c>
      <c r="L32" s="8" t="s">
        <v>378</v>
      </c>
      <c r="M32">
        <v>0</v>
      </c>
      <c r="N32">
        <v>0</v>
      </c>
      <c r="O32">
        <v>0.35462002999999997</v>
      </c>
      <c r="P32">
        <v>-4.0581869999999999E-2</v>
      </c>
      <c r="Q32">
        <v>2.1059459999999999E-2</v>
      </c>
      <c r="R32">
        <v>-1.5370500000000001E-3</v>
      </c>
      <c r="S32">
        <v>1.9950066799999999</v>
      </c>
      <c r="T32">
        <v>-3.0732699999999999E-3</v>
      </c>
      <c r="U32">
        <v>1.99500905</v>
      </c>
      <c r="V32">
        <v>-1.7942570000000001E-2</v>
      </c>
      <c r="W32">
        <v>2.015757E-2</v>
      </c>
      <c r="X32">
        <v>0</v>
      </c>
      <c r="Y32" s="8" t="s">
        <v>129</v>
      </c>
      <c r="Z32" s="8" t="s">
        <v>130</v>
      </c>
      <c r="AA32" s="8" t="s">
        <v>131</v>
      </c>
    </row>
    <row r="33" spans="1:27" x14ac:dyDescent="0.25">
      <c r="A33">
        <v>0</v>
      </c>
      <c r="B33">
        <v>0.16</v>
      </c>
      <c r="C33">
        <v>32</v>
      </c>
      <c r="D33">
        <v>0.59260000000000002</v>
      </c>
      <c r="E33">
        <v>-9.5799999999999996E-2</v>
      </c>
      <c r="F33">
        <v>0.11476755</v>
      </c>
      <c r="G33">
        <v>0.60033143</v>
      </c>
      <c r="H33">
        <v>0.99501143000000003</v>
      </c>
      <c r="I33">
        <v>0</v>
      </c>
      <c r="J33">
        <v>6.1230000000000002</v>
      </c>
      <c r="K33" s="8" t="s">
        <v>379</v>
      </c>
      <c r="L33" s="8" t="s">
        <v>380</v>
      </c>
      <c r="M33">
        <v>0</v>
      </c>
      <c r="N33">
        <v>0</v>
      </c>
      <c r="O33">
        <v>0.39966857</v>
      </c>
      <c r="P33">
        <v>-4.3594019999999997E-2</v>
      </c>
      <c r="Q33">
        <v>2.2534559999999999E-2</v>
      </c>
      <c r="R33">
        <v>-1.4751E-3</v>
      </c>
      <c r="S33">
        <v>1.9950066799999999</v>
      </c>
      <c r="T33">
        <v>-3.0732699999999999E-3</v>
      </c>
      <c r="U33">
        <v>1.99500905</v>
      </c>
      <c r="V33">
        <v>-1.896171E-2</v>
      </c>
      <c r="W33">
        <v>2.1928050000000001E-2</v>
      </c>
      <c r="X33">
        <v>0</v>
      </c>
      <c r="Y33" s="8" t="s">
        <v>134</v>
      </c>
      <c r="Z33" s="8" t="s">
        <v>135</v>
      </c>
      <c r="AA33" s="8" t="s">
        <v>136</v>
      </c>
    </row>
    <row r="34" spans="1:27" x14ac:dyDescent="0.25">
      <c r="A34">
        <v>0</v>
      </c>
      <c r="B34">
        <v>0.16500000000000001</v>
      </c>
      <c r="C34">
        <v>33</v>
      </c>
      <c r="D34">
        <v>0.54410000000000003</v>
      </c>
      <c r="E34">
        <v>-0.10340000000000001</v>
      </c>
      <c r="F34">
        <v>0.12191736</v>
      </c>
      <c r="G34">
        <v>0.55382978999999999</v>
      </c>
      <c r="H34">
        <v>0.99501143000000003</v>
      </c>
      <c r="I34">
        <v>0</v>
      </c>
      <c r="J34">
        <v>6.0953999999999997</v>
      </c>
      <c r="K34" s="8" t="s">
        <v>381</v>
      </c>
      <c r="L34" s="8" t="s">
        <v>382</v>
      </c>
      <c r="M34">
        <v>0</v>
      </c>
      <c r="N34">
        <v>0</v>
      </c>
      <c r="O34">
        <v>0.44617021000000001</v>
      </c>
      <c r="P34">
        <v>-4.6472979999999997E-2</v>
      </c>
      <c r="Q34">
        <v>2.3938419999999998E-2</v>
      </c>
      <c r="R34">
        <v>-1.40386E-3</v>
      </c>
      <c r="S34">
        <v>1.9950066799999999</v>
      </c>
      <c r="T34">
        <v>-3.0732699999999999E-3</v>
      </c>
      <c r="U34">
        <v>1.99500905</v>
      </c>
      <c r="V34">
        <v>-1.9880479999999999E-2</v>
      </c>
      <c r="W34">
        <v>2.3660469999999999E-2</v>
      </c>
      <c r="X34">
        <v>0</v>
      </c>
      <c r="Y34" s="8" t="s">
        <v>139</v>
      </c>
      <c r="Z34" s="8" t="s">
        <v>140</v>
      </c>
      <c r="AA34" s="8" t="s">
        <v>141</v>
      </c>
    </row>
    <row r="35" spans="1:27" x14ac:dyDescent="0.25">
      <c r="A35">
        <v>0</v>
      </c>
      <c r="B35">
        <v>0.17</v>
      </c>
      <c r="C35">
        <v>34</v>
      </c>
      <c r="D35">
        <v>0.49399999999999999</v>
      </c>
      <c r="E35">
        <v>-0.1109</v>
      </c>
      <c r="F35">
        <v>0.12866285</v>
      </c>
      <c r="G35">
        <v>0.50625924</v>
      </c>
      <c r="H35">
        <v>0.99501143000000003</v>
      </c>
      <c r="I35">
        <v>0</v>
      </c>
      <c r="J35">
        <v>6.0622999999999996</v>
      </c>
      <c r="K35" s="8" t="s">
        <v>383</v>
      </c>
      <c r="L35" s="8" t="s">
        <v>384</v>
      </c>
      <c r="M35">
        <v>0</v>
      </c>
      <c r="N35">
        <v>0</v>
      </c>
      <c r="O35">
        <v>0.49374076</v>
      </c>
      <c r="P35">
        <v>-4.9201309999999998E-2</v>
      </c>
      <c r="Q35">
        <v>2.526289E-2</v>
      </c>
      <c r="R35">
        <v>-1.3244699999999999E-3</v>
      </c>
      <c r="S35">
        <v>1.9950066799999999</v>
      </c>
      <c r="T35">
        <v>-3.0732699999999999E-3</v>
      </c>
      <c r="U35">
        <v>1.99500905</v>
      </c>
      <c r="V35">
        <v>-2.069588E-2</v>
      </c>
      <c r="W35">
        <v>2.5340939999999999E-2</v>
      </c>
      <c r="X35">
        <v>0</v>
      </c>
      <c r="Y35" s="8" t="s">
        <v>144</v>
      </c>
      <c r="Z35" s="8" t="s">
        <v>145</v>
      </c>
      <c r="AA35" s="8" t="s">
        <v>146</v>
      </c>
    </row>
    <row r="36" spans="1:27" x14ac:dyDescent="0.25">
      <c r="A36">
        <v>0</v>
      </c>
      <c r="B36">
        <v>0.17499999999999999</v>
      </c>
      <c r="C36">
        <v>35</v>
      </c>
      <c r="D36">
        <v>0.4425</v>
      </c>
      <c r="E36">
        <v>-0.1183</v>
      </c>
      <c r="F36">
        <v>0.13496801999999999</v>
      </c>
      <c r="G36">
        <v>0.45805033000000001</v>
      </c>
      <c r="H36">
        <v>0.99501143000000003</v>
      </c>
      <c r="I36">
        <v>0</v>
      </c>
      <c r="J36">
        <v>6.0220000000000002</v>
      </c>
      <c r="K36" s="8" t="s">
        <v>385</v>
      </c>
      <c r="L36" s="8" t="s">
        <v>386</v>
      </c>
      <c r="M36">
        <v>0</v>
      </c>
      <c r="N36">
        <v>0</v>
      </c>
      <c r="O36">
        <v>0.54194967000000005</v>
      </c>
      <c r="P36">
        <v>-5.1763799999999999E-2</v>
      </c>
      <c r="Q36">
        <v>2.6500909999999999E-2</v>
      </c>
      <c r="R36">
        <v>-1.23802E-3</v>
      </c>
      <c r="S36">
        <v>1.9950066799999999</v>
      </c>
      <c r="T36">
        <v>-3.0732699999999999E-3</v>
      </c>
      <c r="U36">
        <v>1.99500905</v>
      </c>
      <c r="V36">
        <v>-2.1406689999999999E-2</v>
      </c>
      <c r="W36">
        <v>2.695641E-2</v>
      </c>
      <c r="X36">
        <v>0</v>
      </c>
      <c r="Y36" s="8" t="s">
        <v>149</v>
      </c>
      <c r="Z36" s="8" t="s">
        <v>150</v>
      </c>
      <c r="AA36" s="8" t="s">
        <v>151</v>
      </c>
    </row>
    <row r="37" spans="1:27" x14ac:dyDescent="0.25">
      <c r="A37">
        <v>0</v>
      </c>
      <c r="B37">
        <v>0.18</v>
      </c>
      <c r="C37">
        <v>36</v>
      </c>
      <c r="D37">
        <v>0.39</v>
      </c>
      <c r="E37">
        <v>-0.12540000000000001</v>
      </c>
      <c r="F37">
        <v>0.14080211000000001</v>
      </c>
      <c r="G37">
        <v>0.40970073000000001</v>
      </c>
      <c r="H37">
        <v>0.99501143000000003</v>
      </c>
      <c r="I37">
        <v>0</v>
      </c>
      <c r="J37">
        <v>5.9722</v>
      </c>
      <c r="K37" s="8" t="s">
        <v>387</v>
      </c>
      <c r="L37" s="8" t="s">
        <v>388</v>
      </c>
      <c r="M37">
        <v>0</v>
      </c>
      <c r="N37">
        <v>0</v>
      </c>
      <c r="O37">
        <v>0.59029927000000004</v>
      </c>
      <c r="P37">
        <v>-5.4147340000000002E-2</v>
      </c>
      <c r="Q37">
        <v>2.764643E-2</v>
      </c>
      <c r="R37">
        <v>-1.1455199999999999E-3</v>
      </c>
      <c r="S37">
        <v>1.9950066799999999</v>
      </c>
      <c r="T37">
        <v>-3.0732699999999999E-3</v>
      </c>
      <c r="U37">
        <v>1.99500905</v>
      </c>
      <c r="V37">
        <v>-2.2013230000000002E-2</v>
      </c>
      <c r="W37">
        <v>2.849469E-2</v>
      </c>
      <c r="X37">
        <v>0</v>
      </c>
      <c r="Y37" s="8" t="s">
        <v>154</v>
      </c>
      <c r="Z37" s="8" t="s">
        <v>155</v>
      </c>
      <c r="AA37" s="8" t="s">
        <v>156</v>
      </c>
    </row>
    <row r="38" spans="1:27" x14ac:dyDescent="0.25">
      <c r="A38">
        <v>0</v>
      </c>
      <c r="B38">
        <v>0.185</v>
      </c>
      <c r="C38">
        <v>37</v>
      </c>
      <c r="D38">
        <v>0.33679999999999999</v>
      </c>
      <c r="E38">
        <v>-0.13220000000000001</v>
      </c>
      <c r="F38">
        <v>0.14613938000000001</v>
      </c>
      <c r="G38">
        <v>0.36181427999999999</v>
      </c>
      <c r="H38">
        <v>0.99501143000000003</v>
      </c>
      <c r="I38">
        <v>0</v>
      </c>
      <c r="J38">
        <v>5.9092000000000002</v>
      </c>
      <c r="K38" s="8" t="s">
        <v>389</v>
      </c>
      <c r="L38" s="8" t="s">
        <v>390</v>
      </c>
      <c r="M38">
        <v>0</v>
      </c>
      <c r="N38">
        <v>0</v>
      </c>
      <c r="O38">
        <v>0.63818571999999996</v>
      </c>
      <c r="P38">
        <v>-5.6340830000000001E-2</v>
      </c>
      <c r="Q38">
        <v>2.8694399999999998E-2</v>
      </c>
      <c r="R38">
        <v>-1.0479700000000001E-3</v>
      </c>
      <c r="S38">
        <v>1.9950066799999999</v>
      </c>
      <c r="T38">
        <v>-3.0732699999999999E-3</v>
      </c>
      <c r="U38">
        <v>1.99500905</v>
      </c>
      <c r="V38">
        <v>-2.2517180000000001E-2</v>
      </c>
      <c r="W38">
        <v>2.9944640000000002E-2</v>
      </c>
      <c r="X38">
        <v>0</v>
      </c>
      <c r="Y38" s="8" t="s">
        <v>159</v>
      </c>
      <c r="Z38" s="8" t="s">
        <v>160</v>
      </c>
      <c r="AA38" s="8" t="s">
        <v>161</v>
      </c>
    </row>
    <row r="39" spans="1:27" x14ac:dyDescent="0.25">
      <c r="A39">
        <v>0</v>
      </c>
      <c r="B39">
        <v>0.19</v>
      </c>
      <c r="C39">
        <v>38</v>
      </c>
      <c r="D39">
        <v>0.28299999999999997</v>
      </c>
      <c r="E39">
        <v>-0.1386</v>
      </c>
      <c r="F39">
        <v>0.15095871999999999</v>
      </c>
      <c r="G39">
        <v>0.3151736</v>
      </c>
      <c r="H39">
        <v>0.99501143000000003</v>
      </c>
      <c r="I39">
        <v>0</v>
      </c>
      <c r="J39">
        <v>5.8277000000000001</v>
      </c>
      <c r="K39" s="8" t="s">
        <v>391</v>
      </c>
      <c r="L39" s="8" t="s">
        <v>392</v>
      </c>
      <c r="M39">
        <v>0</v>
      </c>
      <c r="N39">
        <v>0</v>
      </c>
      <c r="O39">
        <v>0.68482639999999995</v>
      </c>
      <c r="P39">
        <v>-5.8335079999999997E-2</v>
      </c>
      <c r="Q39">
        <v>2.9640670000000001E-2</v>
      </c>
      <c r="R39">
        <v>-9.4627000000000003E-4</v>
      </c>
      <c r="S39">
        <v>1.9950066799999999</v>
      </c>
      <c r="T39">
        <v>-3.0732699999999999E-3</v>
      </c>
      <c r="U39">
        <v>1.99500905</v>
      </c>
      <c r="V39">
        <v>-2.292135E-2</v>
      </c>
      <c r="W39">
        <v>3.129618E-2</v>
      </c>
      <c r="X39">
        <v>0</v>
      </c>
      <c r="Y39" s="8" t="s">
        <v>164</v>
      </c>
      <c r="Z39" s="8" t="s">
        <v>165</v>
      </c>
      <c r="AA39" s="8" t="s">
        <v>166</v>
      </c>
    </row>
    <row r="40" spans="1:27" x14ac:dyDescent="0.25">
      <c r="A40">
        <v>0</v>
      </c>
      <c r="B40">
        <v>0.19500000000000001</v>
      </c>
      <c r="C40">
        <v>39</v>
      </c>
      <c r="D40">
        <v>0.22900000000000001</v>
      </c>
      <c r="E40">
        <v>-0.14460000000000001</v>
      </c>
      <c r="F40">
        <v>0.1552433</v>
      </c>
      <c r="G40">
        <v>0.27087281000000002</v>
      </c>
      <c r="H40">
        <v>0.99501143000000003</v>
      </c>
      <c r="I40">
        <v>0</v>
      </c>
      <c r="J40">
        <v>5.7199</v>
      </c>
      <c r="K40" s="8" t="s">
        <v>393</v>
      </c>
      <c r="L40" s="8" t="s">
        <v>394</v>
      </c>
      <c r="M40">
        <v>0</v>
      </c>
      <c r="N40">
        <v>0</v>
      </c>
      <c r="O40">
        <v>0.72912719000000004</v>
      </c>
      <c r="P40">
        <v>-6.0122630000000003E-2</v>
      </c>
      <c r="Q40">
        <v>3.0481950000000001E-2</v>
      </c>
      <c r="R40">
        <v>-8.4128000000000002E-4</v>
      </c>
      <c r="S40">
        <v>1.9950066799999999</v>
      </c>
      <c r="T40">
        <v>-3.0732699999999999E-3</v>
      </c>
      <c r="U40">
        <v>1.99500905</v>
      </c>
      <c r="V40">
        <v>-2.3229469999999999E-2</v>
      </c>
      <c r="W40">
        <v>3.2540329999999999E-2</v>
      </c>
      <c r="X40">
        <v>0</v>
      </c>
      <c r="Y40" s="8" t="s">
        <v>169</v>
      </c>
      <c r="Z40" s="8" t="s">
        <v>170</v>
      </c>
      <c r="AA40" s="8" t="s">
        <v>171</v>
      </c>
    </row>
    <row r="41" spans="1:27" x14ac:dyDescent="0.25">
      <c r="A41">
        <v>0</v>
      </c>
      <c r="B41">
        <v>0.2</v>
      </c>
      <c r="C41">
        <v>40</v>
      </c>
      <c r="D41">
        <v>0.17499999999999999</v>
      </c>
      <c r="E41">
        <v>-0.15010000000000001</v>
      </c>
      <c r="F41">
        <v>0.15898027000000001</v>
      </c>
      <c r="G41">
        <v>0.23055031000000001</v>
      </c>
      <c r="H41">
        <v>0.99501143000000003</v>
      </c>
      <c r="I41">
        <v>0</v>
      </c>
      <c r="J41">
        <v>5.5739999999999998</v>
      </c>
      <c r="K41" s="8" t="s">
        <v>395</v>
      </c>
      <c r="L41" s="8" t="s">
        <v>396</v>
      </c>
      <c r="M41">
        <v>0</v>
      </c>
      <c r="N41">
        <v>0</v>
      </c>
      <c r="O41">
        <v>0.76944968999999996</v>
      </c>
      <c r="P41">
        <v>-6.169765E-2</v>
      </c>
      <c r="Q41">
        <v>3.1215699999999999E-2</v>
      </c>
      <c r="R41">
        <v>-7.3375000000000003E-4</v>
      </c>
      <c r="S41">
        <v>1.9950066799999999</v>
      </c>
      <c r="T41">
        <v>-3.0732699999999999E-3</v>
      </c>
      <c r="U41">
        <v>1.99500905</v>
      </c>
      <c r="V41">
        <v>-2.344593E-2</v>
      </c>
      <c r="W41">
        <v>3.3669310000000001E-2</v>
      </c>
      <c r="X41">
        <v>0</v>
      </c>
      <c r="Y41" s="8" t="s">
        <v>174</v>
      </c>
      <c r="Z41" s="8" t="s">
        <v>175</v>
      </c>
      <c r="AA41" s="8" t="s">
        <v>176</v>
      </c>
    </row>
    <row r="42" spans="1:27" x14ac:dyDescent="0.25">
      <c r="A42">
        <v>0</v>
      </c>
      <c r="B42">
        <v>0.20499999999999999</v>
      </c>
      <c r="C42">
        <v>41</v>
      </c>
      <c r="D42">
        <v>0.1211</v>
      </c>
      <c r="E42">
        <v>-0.155</v>
      </c>
      <c r="F42">
        <v>0.16216032999999999</v>
      </c>
      <c r="G42">
        <v>0.1967354</v>
      </c>
      <c r="H42">
        <v>0.99501143000000003</v>
      </c>
      <c r="I42">
        <v>0</v>
      </c>
      <c r="J42">
        <v>5.3754999999999997</v>
      </c>
      <c r="K42" s="8" t="s">
        <v>397</v>
      </c>
      <c r="L42" s="8" t="s">
        <v>398</v>
      </c>
      <c r="M42">
        <v>0</v>
      </c>
      <c r="N42">
        <v>0</v>
      </c>
      <c r="O42">
        <v>0.8032646</v>
      </c>
      <c r="P42">
        <v>-6.3055810000000004E-2</v>
      </c>
      <c r="Q42">
        <v>3.1840109999999998E-2</v>
      </c>
      <c r="R42">
        <v>-6.244E-4</v>
      </c>
      <c r="S42">
        <v>1.9950066799999999</v>
      </c>
      <c r="T42">
        <v>-3.0732699999999999E-3</v>
      </c>
      <c r="U42">
        <v>1.99500905</v>
      </c>
      <c r="V42">
        <v>-2.357561E-2</v>
      </c>
      <c r="W42">
        <v>3.4676449999999998E-2</v>
      </c>
      <c r="X42">
        <v>0</v>
      </c>
      <c r="Y42" s="8" t="s">
        <v>179</v>
      </c>
      <c r="Z42" s="8" t="s">
        <v>180</v>
      </c>
      <c r="AA42" s="8" t="s">
        <v>181</v>
      </c>
    </row>
    <row r="43" spans="1:27" x14ac:dyDescent="0.25">
      <c r="A43">
        <v>0</v>
      </c>
      <c r="B43">
        <v>0.21</v>
      </c>
      <c r="C43">
        <v>42</v>
      </c>
      <c r="D43">
        <v>6.7599999999999993E-2</v>
      </c>
      <c r="E43">
        <v>-0.1593</v>
      </c>
      <c r="F43">
        <v>0.16477744</v>
      </c>
      <c r="G43">
        <v>0.17308307000000001</v>
      </c>
      <c r="H43">
        <v>0.99501143000000003</v>
      </c>
      <c r="I43">
        <v>0</v>
      </c>
      <c r="J43">
        <v>5.1136999999999997</v>
      </c>
      <c r="K43" s="8" t="s">
        <v>399</v>
      </c>
      <c r="L43" s="8" t="s">
        <v>400</v>
      </c>
      <c r="M43">
        <v>0</v>
      </c>
      <c r="N43">
        <v>0</v>
      </c>
      <c r="O43">
        <v>0.82691692999999999</v>
      </c>
      <c r="P43">
        <v>-6.4194080000000001E-2</v>
      </c>
      <c r="Q43">
        <v>3.2353970000000003E-2</v>
      </c>
      <c r="R43">
        <v>-5.1387000000000004E-4</v>
      </c>
      <c r="S43">
        <v>1.9950066799999999</v>
      </c>
      <c r="T43">
        <v>-3.0732699999999999E-3</v>
      </c>
      <c r="U43">
        <v>1.99500905</v>
      </c>
      <c r="V43">
        <v>-2.3623669999999999E-2</v>
      </c>
      <c r="W43">
        <v>3.5556230000000001E-2</v>
      </c>
      <c r="X43">
        <v>0</v>
      </c>
      <c r="Y43" s="8" t="s">
        <v>184</v>
      </c>
      <c r="Z43" s="8" t="s">
        <v>185</v>
      </c>
      <c r="AA43" s="8" t="s">
        <v>186</v>
      </c>
    </row>
    <row r="44" spans="1:27" x14ac:dyDescent="0.25">
      <c r="A44">
        <v>0</v>
      </c>
      <c r="B44">
        <v>0.215</v>
      </c>
      <c r="C44">
        <v>43</v>
      </c>
      <c r="D44">
        <v>1.47E-2</v>
      </c>
      <c r="E44">
        <v>-0.16289999999999999</v>
      </c>
      <c r="F44">
        <v>0.16682849999999999</v>
      </c>
      <c r="G44">
        <v>0.16358559</v>
      </c>
      <c r="H44">
        <v>0.99501143000000003</v>
      </c>
      <c r="I44">
        <v>0</v>
      </c>
      <c r="J44">
        <v>4.8022999999999998</v>
      </c>
      <c r="K44" s="8" t="s">
        <v>401</v>
      </c>
      <c r="L44" s="8" t="s">
        <v>402</v>
      </c>
      <c r="M44">
        <v>0</v>
      </c>
      <c r="N44">
        <v>0</v>
      </c>
      <c r="O44">
        <v>0.83641441000000005</v>
      </c>
      <c r="P44">
        <v>-6.5110669999999995E-2</v>
      </c>
      <c r="Q44">
        <v>3.27567E-2</v>
      </c>
      <c r="R44">
        <v>-4.0272000000000002E-4</v>
      </c>
      <c r="S44">
        <v>1.9950066799999999</v>
      </c>
      <c r="T44">
        <v>-3.0732699999999999E-3</v>
      </c>
      <c r="U44">
        <v>1.99500905</v>
      </c>
      <c r="V44">
        <v>-2.3595379999999999E-2</v>
      </c>
      <c r="W44">
        <v>3.6304250000000003E-2</v>
      </c>
      <c r="X44">
        <v>0</v>
      </c>
      <c r="Y44" s="8" t="s">
        <v>189</v>
      </c>
      <c r="Z44" s="8" t="s">
        <v>190</v>
      </c>
      <c r="AA44" s="8" t="s">
        <v>191</v>
      </c>
    </row>
    <row r="45" spans="1:27" x14ac:dyDescent="0.25">
      <c r="A45">
        <v>0</v>
      </c>
      <c r="B45">
        <v>0.22</v>
      </c>
      <c r="C45">
        <v>44</v>
      </c>
      <c r="D45">
        <v>-3.7499999999999999E-2</v>
      </c>
      <c r="E45">
        <v>-0.1658</v>
      </c>
      <c r="F45">
        <v>0.16831307000000001</v>
      </c>
      <c r="G45">
        <v>0.16996706</v>
      </c>
      <c r="H45">
        <v>0.99501143000000003</v>
      </c>
      <c r="I45">
        <v>0</v>
      </c>
      <c r="J45">
        <v>4.4898999999999996</v>
      </c>
      <c r="K45" s="8" t="s">
        <v>403</v>
      </c>
      <c r="L45" s="8" t="s">
        <v>404</v>
      </c>
      <c r="M45">
        <v>0</v>
      </c>
      <c r="N45">
        <v>0</v>
      </c>
      <c r="O45">
        <v>0.83003294000000005</v>
      </c>
      <c r="P45">
        <v>-6.5804890000000005E-2</v>
      </c>
      <c r="Q45">
        <v>3.3048189999999998E-2</v>
      </c>
      <c r="R45">
        <v>-2.9148999999999999E-4</v>
      </c>
      <c r="S45">
        <v>1.9950066799999999</v>
      </c>
      <c r="T45">
        <v>-3.0732699999999999E-3</v>
      </c>
      <c r="U45">
        <v>1.99500905</v>
      </c>
      <c r="V45">
        <v>-2.349594E-2</v>
      </c>
      <c r="W45">
        <v>3.6917159999999997E-2</v>
      </c>
      <c r="X45">
        <v>0</v>
      </c>
      <c r="Y45" s="8" t="s">
        <v>194</v>
      </c>
      <c r="Z45" s="8" t="s">
        <v>195</v>
      </c>
      <c r="AA45" s="8" t="s">
        <v>196</v>
      </c>
    </row>
    <row r="46" spans="1:27" x14ac:dyDescent="0.25">
      <c r="A46">
        <v>0</v>
      </c>
      <c r="B46">
        <v>0.22500000000000001</v>
      </c>
      <c r="C46">
        <v>45</v>
      </c>
      <c r="D46">
        <v>-8.8800000000000004E-2</v>
      </c>
      <c r="E46">
        <v>-0.1678</v>
      </c>
      <c r="F46">
        <v>0.16923311999999999</v>
      </c>
      <c r="G46">
        <v>0.18989629</v>
      </c>
      <c r="H46">
        <v>0.99501143000000003</v>
      </c>
      <c r="I46">
        <v>0</v>
      </c>
      <c r="J46">
        <v>4.2256</v>
      </c>
      <c r="K46" s="8" t="s">
        <v>405</v>
      </c>
      <c r="L46" s="8" t="s">
        <v>406</v>
      </c>
      <c r="M46">
        <v>0</v>
      </c>
      <c r="N46">
        <v>0</v>
      </c>
      <c r="O46">
        <v>0.81010371000000003</v>
      </c>
      <c r="P46">
        <v>-6.6277039999999995E-2</v>
      </c>
      <c r="Q46">
        <v>3.3228849999999997E-2</v>
      </c>
      <c r="R46">
        <v>-1.8065E-4</v>
      </c>
      <c r="S46">
        <v>1.9950066799999999</v>
      </c>
      <c r="T46">
        <v>-3.0732699999999999E-3</v>
      </c>
      <c r="U46">
        <v>1.99500905</v>
      </c>
      <c r="V46">
        <v>-2.3330420000000001E-2</v>
      </c>
      <c r="W46">
        <v>3.7392649999999999E-2</v>
      </c>
      <c r="X46">
        <v>0</v>
      </c>
      <c r="Y46" s="8" t="s">
        <v>199</v>
      </c>
      <c r="Z46" s="8" t="s">
        <v>200</v>
      </c>
      <c r="AA46" s="8" t="s">
        <v>201</v>
      </c>
    </row>
    <row r="47" spans="1:27" x14ac:dyDescent="0.25">
      <c r="A47">
        <v>0</v>
      </c>
      <c r="B47">
        <v>0.23</v>
      </c>
      <c r="C47">
        <v>46</v>
      </c>
      <c r="D47">
        <v>-0.1391</v>
      </c>
      <c r="E47">
        <v>-0.1691</v>
      </c>
      <c r="F47">
        <v>0.16959287000000001</v>
      </c>
      <c r="G47">
        <v>0.21896450000000001</v>
      </c>
      <c r="H47">
        <v>0.99501143000000003</v>
      </c>
      <c r="I47">
        <v>0</v>
      </c>
      <c r="J47">
        <v>4.0239000000000003</v>
      </c>
      <c r="K47" s="8" t="s">
        <v>407</v>
      </c>
      <c r="L47" s="8" t="s">
        <v>408</v>
      </c>
      <c r="M47">
        <v>0</v>
      </c>
      <c r="N47">
        <v>0</v>
      </c>
      <c r="O47">
        <v>0.78103549999999999</v>
      </c>
      <c r="P47">
        <v>-6.6528329999999997E-2</v>
      </c>
      <c r="Q47">
        <v>3.3299479999999999E-2</v>
      </c>
      <c r="R47">
        <v>-7.0640000000000001E-5</v>
      </c>
      <c r="S47">
        <v>1.9950066799999999</v>
      </c>
      <c r="T47">
        <v>-3.0732699999999999E-3</v>
      </c>
      <c r="U47">
        <v>1.99500905</v>
      </c>
      <c r="V47">
        <v>-2.310361E-2</v>
      </c>
      <c r="W47">
        <v>3.7729360000000003E-2</v>
      </c>
      <c r="X47">
        <v>0</v>
      </c>
      <c r="Y47" s="8" t="s">
        <v>204</v>
      </c>
      <c r="Z47" s="8" t="s">
        <v>205</v>
      </c>
      <c r="AA47" s="8" t="s">
        <v>206</v>
      </c>
    </row>
    <row r="48" spans="1:27" x14ac:dyDescent="0.25">
      <c r="A48">
        <v>0</v>
      </c>
      <c r="B48">
        <v>0.23499999999999999</v>
      </c>
      <c r="C48">
        <v>47</v>
      </c>
      <c r="D48">
        <v>-0.1883</v>
      </c>
      <c r="E48">
        <v>-0.16950000000000001</v>
      </c>
      <c r="F48">
        <v>0.16939857</v>
      </c>
      <c r="G48">
        <v>0.25333175000000002</v>
      </c>
      <c r="H48">
        <v>0.99501143000000003</v>
      </c>
      <c r="I48">
        <v>0</v>
      </c>
      <c r="J48">
        <v>3.8744000000000001</v>
      </c>
      <c r="K48" s="8" t="s">
        <v>409</v>
      </c>
      <c r="L48" s="8" t="s">
        <v>410</v>
      </c>
      <c r="M48">
        <v>0</v>
      </c>
      <c r="N48">
        <v>0</v>
      </c>
      <c r="O48">
        <v>0.74666825000000003</v>
      </c>
      <c r="P48">
        <v>-6.6560809999999998E-2</v>
      </c>
      <c r="Q48">
        <v>3.3261329999999999E-2</v>
      </c>
      <c r="R48">
        <v>3.8149999999999999E-5</v>
      </c>
      <c r="S48">
        <v>1.9950066799999999</v>
      </c>
      <c r="T48">
        <v>-3.0732699999999999E-3</v>
      </c>
      <c r="U48">
        <v>1.99500905</v>
      </c>
      <c r="V48">
        <v>-2.281998E-2</v>
      </c>
      <c r="W48">
        <v>3.792686E-2</v>
      </c>
      <c r="X48">
        <v>0</v>
      </c>
      <c r="Y48" s="8" t="s">
        <v>209</v>
      </c>
      <c r="Z48" s="8" t="s">
        <v>210</v>
      </c>
      <c r="AA48" s="8" t="s">
        <v>211</v>
      </c>
    </row>
    <row r="49" spans="1:27" x14ac:dyDescent="0.25">
      <c r="A49">
        <v>0</v>
      </c>
      <c r="B49">
        <v>0.24</v>
      </c>
      <c r="C49">
        <v>48</v>
      </c>
      <c r="D49">
        <v>-0.23619999999999999</v>
      </c>
      <c r="E49">
        <v>-0.16900000000000001</v>
      </c>
      <c r="F49">
        <v>0.16865843</v>
      </c>
      <c r="G49">
        <v>0.29045281000000001</v>
      </c>
      <c r="H49">
        <v>0.99501143000000003</v>
      </c>
      <c r="I49">
        <v>0</v>
      </c>
      <c r="J49">
        <v>3.7625999999999999</v>
      </c>
      <c r="K49" s="8" t="s">
        <v>411</v>
      </c>
      <c r="L49" s="8" t="s">
        <v>412</v>
      </c>
      <c r="M49">
        <v>0</v>
      </c>
      <c r="N49">
        <v>0</v>
      </c>
      <c r="O49">
        <v>0.70954718999999999</v>
      </c>
      <c r="P49">
        <v>-6.6377340000000007E-2</v>
      </c>
      <c r="Q49">
        <v>3.3116E-2</v>
      </c>
      <c r="R49">
        <v>1.4532999999999999E-4</v>
      </c>
      <c r="S49">
        <v>1.9950066799999999</v>
      </c>
      <c r="T49">
        <v>-3.0732699999999999E-3</v>
      </c>
      <c r="U49">
        <v>1.99500905</v>
      </c>
      <c r="V49">
        <v>-2.2483630000000001E-2</v>
      </c>
      <c r="W49">
        <v>3.798555E-2</v>
      </c>
      <c r="X49">
        <v>0</v>
      </c>
      <c r="Y49" s="8" t="s">
        <v>214</v>
      </c>
      <c r="Z49" s="8" t="s">
        <v>215</v>
      </c>
      <c r="AA49" s="8" t="s">
        <v>216</v>
      </c>
    </row>
    <row r="50" spans="1:27" x14ac:dyDescent="0.25">
      <c r="A50">
        <v>0</v>
      </c>
      <c r="B50">
        <v>0.245</v>
      </c>
      <c r="C50">
        <v>49</v>
      </c>
      <c r="D50">
        <v>-0.2828</v>
      </c>
      <c r="E50">
        <v>-0.1676</v>
      </c>
      <c r="F50">
        <v>0.16738253</v>
      </c>
      <c r="G50">
        <v>0.32877623</v>
      </c>
      <c r="H50">
        <v>0.99501143000000003</v>
      </c>
      <c r="I50">
        <v>0</v>
      </c>
      <c r="J50">
        <v>3.6766000000000001</v>
      </c>
      <c r="K50" s="8" t="s">
        <v>413</v>
      </c>
      <c r="L50" s="8" t="s">
        <v>414</v>
      </c>
      <c r="M50">
        <v>0</v>
      </c>
      <c r="N50">
        <v>0</v>
      </c>
      <c r="O50">
        <v>0.67122377</v>
      </c>
      <c r="P50">
        <v>-6.5981490000000004E-2</v>
      </c>
      <c r="Q50">
        <v>3.2865480000000002E-2</v>
      </c>
      <c r="R50">
        <v>2.5052000000000001E-4</v>
      </c>
      <c r="S50">
        <v>1.9950066799999999</v>
      </c>
      <c r="T50">
        <v>-3.0732699999999999E-3</v>
      </c>
      <c r="U50">
        <v>1.99500905</v>
      </c>
      <c r="V50">
        <v>-2.209825E-2</v>
      </c>
      <c r="W50">
        <v>3.790669E-2</v>
      </c>
      <c r="X50">
        <v>0</v>
      </c>
      <c r="Y50" s="8" t="s">
        <v>219</v>
      </c>
      <c r="Z50" s="8" t="s">
        <v>220</v>
      </c>
      <c r="AA50" s="8" t="s">
        <v>221</v>
      </c>
    </row>
    <row r="51" spans="1:27" x14ac:dyDescent="0.25">
      <c r="A51">
        <v>0</v>
      </c>
      <c r="B51">
        <v>0.25</v>
      </c>
      <c r="C51">
        <v>50</v>
      </c>
      <c r="D51">
        <v>-0.32800000000000001</v>
      </c>
      <c r="E51">
        <v>-0.16539999999999999</v>
      </c>
      <c r="F51">
        <v>0.16558278000000001</v>
      </c>
      <c r="G51">
        <v>0.36735759000000001</v>
      </c>
      <c r="H51">
        <v>0.99501143000000003</v>
      </c>
      <c r="I51">
        <v>0</v>
      </c>
      <c r="J51">
        <v>3.6086</v>
      </c>
      <c r="K51" s="8" t="s">
        <v>415</v>
      </c>
      <c r="L51" s="8" t="s">
        <v>416</v>
      </c>
      <c r="M51">
        <v>0</v>
      </c>
      <c r="N51">
        <v>0</v>
      </c>
      <c r="O51">
        <v>0.63264240999999999</v>
      </c>
      <c r="P51">
        <v>-6.5377589999999999E-2</v>
      </c>
      <c r="Q51">
        <v>3.2512100000000002E-2</v>
      </c>
      <c r="R51">
        <v>3.5337999999999998E-4</v>
      </c>
      <c r="S51">
        <v>1.9950066799999999</v>
      </c>
      <c r="T51">
        <v>-3.0732699999999999E-3</v>
      </c>
      <c r="U51">
        <v>1.99500905</v>
      </c>
      <c r="V51">
        <v>-2.1667160000000001E-2</v>
      </c>
      <c r="W51">
        <v>3.7692259999999998E-2</v>
      </c>
      <c r="X51">
        <v>0</v>
      </c>
      <c r="Y51" s="8" t="s">
        <v>224</v>
      </c>
      <c r="Z51" s="8" t="s">
        <v>225</v>
      </c>
      <c r="AA51" s="8" t="s">
        <v>226</v>
      </c>
    </row>
    <row r="52" spans="1:27" x14ac:dyDescent="0.25">
      <c r="A52">
        <v>0</v>
      </c>
      <c r="B52">
        <v>0.255</v>
      </c>
      <c r="C52">
        <v>51</v>
      </c>
      <c r="D52">
        <v>-0.37169999999999997</v>
      </c>
      <c r="E52">
        <v>-0.1623</v>
      </c>
      <c r="F52">
        <v>0.16327285999999999</v>
      </c>
      <c r="G52">
        <v>0.40560496000000001</v>
      </c>
      <c r="H52">
        <v>0.99501143000000003</v>
      </c>
      <c r="I52">
        <v>0</v>
      </c>
      <c r="J52">
        <v>3.5531000000000001</v>
      </c>
      <c r="K52" s="8" t="s">
        <v>417</v>
      </c>
      <c r="L52" s="8" t="s">
        <v>418</v>
      </c>
      <c r="M52">
        <v>0</v>
      </c>
      <c r="N52">
        <v>0</v>
      </c>
      <c r="O52">
        <v>0.59439503999999999</v>
      </c>
      <c r="P52">
        <v>-6.4570649999999993E-2</v>
      </c>
      <c r="Q52">
        <v>3.2058549999999998E-2</v>
      </c>
      <c r="R52">
        <v>4.5354999999999999E-4</v>
      </c>
      <c r="S52">
        <v>1.9950066799999999</v>
      </c>
      <c r="T52">
        <v>-3.0732699999999999E-3</v>
      </c>
      <c r="U52">
        <v>1.99500905</v>
      </c>
      <c r="V52">
        <v>-2.119329E-2</v>
      </c>
      <c r="W52">
        <v>3.734498E-2</v>
      </c>
      <c r="X52">
        <v>0</v>
      </c>
      <c r="Y52" s="8" t="s">
        <v>229</v>
      </c>
      <c r="Z52" s="8" t="s">
        <v>230</v>
      </c>
      <c r="AA52" s="8" t="s">
        <v>231</v>
      </c>
    </row>
    <row r="53" spans="1:27" x14ac:dyDescent="0.25">
      <c r="A53">
        <v>0</v>
      </c>
      <c r="B53">
        <v>0.26</v>
      </c>
      <c r="C53">
        <v>52</v>
      </c>
      <c r="D53">
        <v>-0.41389999999999999</v>
      </c>
      <c r="E53">
        <v>-0.1583</v>
      </c>
      <c r="F53">
        <v>0.16046826</v>
      </c>
      <c r="G53">
        <v>0.44313340000000001</v>
      </c>
      <c r="H53">
        <v>0.99501143000000003</v>
      </c>
      <c r="I53">
        <v>0</v>
      </c>
      <c r="J53">
        <v>3.5068000000000001</v>
      </c>
      <c r="K53" s="8" t="s">
        <v>419</v>
      </c>
      <c r="L53" s="8" t="s">
        <v>420</v>
      </c>
      <c r="M53">
        <v>0</v>
      </c>
      <c r="N53">
        <v>0</v>
      </c>
      <c r="O53">
        <v>0.55686659999999999</v>
      </c>
      <c r="P53">
        <v>-6.3566419999999998E-2</v>
      </c>
      <c r="Q53">
        <v>3.150787E-2</v>
      </c>
      <c r="R53">
        <v>5.5068000000000001E-4</v>
      </c>
      <c r="S53">
        <v>1.9950066799999999</v>
      </c>
      <c r="T53">
        <v>-3.0732699999999999E-3</v>
      </c>
      <c r="U53">
        <v>1.99500905</v>
      </c>
      <c r="V53">
        <v>-2.0679240000000002E-2</v>
      </c>
      <c r="W53">
        <v>3.6868270000000002E-2</v>
      </c>
      <c r="X53">
        <v>0</v>
      </c>
      <c r="Y53" s="8" t="s">
        <v>234</v>
      </c>
      <c r="Z53" s="8" t="s">
        <v>235</v>
      </c>
      <c r="AA53" s="8" t="s">
        <v>236</v>
      </c>
    </row>
    <row r="54" spans="1:27" x14ac:dyDescent="0.25">
      <c r="A54">
        <v>0</v>
      </c>
      <c r="B54">
        <v>0.26500000000000001</v>
      </c>
      <c r="C54">
        <v>53</v>
      </c>
      <c r="D54">
        <v>-0.45450000000000002</v>
      </c>
      <c r="E54">
        <v>-0.15340000000000001</v>
      </c>
      <c r="F54">
        <v>0.15718626999999999</v>
      </c>
      <c r="G54">
        <v>0.47968354000000002</v>
      </c>
      <c r="H54">
        <v>0.99501143000000003</v>
      </c>
      <c r="I54">
        <v>0</v>
      </c>
      <c r="J54">
        <v>3.4672000000000001</v>
      </c>
      <c r="K54" s="8" t="s">
        <v>421</v>
      </c>
      <c r="L54" s="8" t="s">
        <v>422</v>
      </c>
      <c r="M54">
        <v>0</v>
      </c>
      <c r="N54">
        <v>0</v>
      </c>
      <c r="O54">
        <v>0.52031645999999998</v>
      </c>
      <c r="P54">
        <v>-6.2371320000000001E-2</v>
      </c>
      <c r="Q54">
        <v>3.0863450000000001E-2</v>
      </c>
      <c r="R54">
        <v>6.4442000000000004E-4</v>
      </c>
      <c r="S54">
        <v>1.9950066799999999</v>
      </c>
      <c r="T54">
        <v>-3.0732699999999999E-3</v>
      </c>
      <c r="U54">
        <v>1.99500905</v>
      </c>
      <c r="V54">
        <v>-2.0127329999999999E-2</v>
      </c>
      <c r="W54">
        <v>3.6266159999999999E-2</v>
      </c>
      <c r="X54">
        <v>0</v>
      </c>
      <c r="Y54" s="8" t="s">
        <v>239</v>
      </c>
      <c r="Z54" s="8" t="s">
        <v>240</v>
      </c>
      <c r="AA54" s="8" t="s">
        <v>241</v>
      </c>
    </row>
    <row r="55" spans="1:27" x14ac:dyDescent="0.25">
      <c r="A55">
        <v>0</v>
      </c>
      <c r="B55">
        <v>0.27</v>
      </c>
      <c r="C55">
        <v>54</v>
      </c>
      <c r="D55">
        <v>-0.49340000000000001</v>
      </c>
      <c r="E55">
        <v>-0.14779999999999999</v>
      </c>
      <c r="F55">
        <v>0.15344600999999999</v>
      </c>
      <c r="G55">
        <v>0.51507510999999995</v>
      </c>
      <c r="H55">
        <v>0.99501143000000003</v>
      </c>
      <c r="I55">
        <v>0</v>
      </c>
      <c r="J55">
        <v>3.4325999999999999</v>
      </c>
      <c r="K55" s="8" t="s">
        <v>423</v>
      </c>
      <c r="L55" s="8" t="s">
        <v>424</v>
      </c>
      <c r="M55">
        <v>0</v>
      </c>
      <c r="N55">
        <v>0</v>
      </c>
      <c r="O55">
        <v>0.48492489</v>
      </c>
      <c r="P55">
        <v>-6.099251E-2</v>
      </c>
      <c r="Q55">
        <v>3.0129050000000001E-2</v>
      </c>
      <c r="R55">
        <v>7.3439999999999996E-4</v>
      </c>
      <c r="S55">
        <v>1.9950066799999999</v>
      </c>
      <c r="T55">
        <v>-3.0732699999999999E-3</v>
      </c>
      <c r="U55">
        <v>1.99500905</v>
      </c>
      <c r="V55">
        <v>-1.9539620000000001E-2</v>
      </c>
      <c r="W55">
        <v>3.5543320000000003E-2</v>
      </c>
      <c r="X55">
        <v>0</v>
      </c>
      <c r="Y55" s="8" t="s">
        <v>244</v>
      </c>
      <c r="Z55" s="8" t="s">
        <v>245</v>
      </c>
      <c r="AA55" s="8" t="s">
        <v>246</v>
      </c>
    </row>
    <row r="56" spans="1:27" x14ac:dyDescent="0.25">
      <c r="A56">
        <v>0</v>
      </c>
      <c r="B56">
        <v>0.27500000000000002</v>
      </c>
      <c r="C56">
        <v>55</v>
      </c>
      <c r="D56">
        <v>-0.53069999999999995</v>
      </c>
      <c r="E56">
        <v>-0.1414</v>
      </c>
      <c r="F56">
        <v>0.14926845999999999</v>
      </c>
      <c r="G56">
        <v>0.54917956999999995</v>
      </c>
      <c r="H56">
        <v>0.99501143000000003</v>
      </c>
      <c r="I56">
        <v>0</v>
      </c>
      <c r="J56">
        <v>3.4020000000000001</v>
      </c>
      <c r="K56" s="8" t="s">
        <v>425</v>
      </c>
      <c r="L56" s="8" t="s">
        <v>426</v>
      </c>
      <c r="M56">
        <v>0</v>
      </c>
      <c r="N56">
        <v>0</v>
      </c>
      <c r="O56">
        <v>0.45082042999999999</v>
      </c>
      <c r="P56">
        <v>-5.943785E-2</v>
      </c>
      <c r="Q56">
        <v>2.9308790000000001E-2</v>
      </c>
      <c r="R56">
        <v>8.2025999999999996E-4</v>
      </c>
      <c r="S56">
        <v>1.9950066799999999</v>
      </c>
      <c r="T56">
        <v>-3.0732699999999999E-3</v>
      </c>
      <c r="U56">
        <v>1.99500905</v>
      </c>
      <c r="V56">
        <v>-1.8918009999999999E-2</v>
      </c>
      <c r="W56">
        <v>3.4705E-2</v>
      </c>
      <c r="X56">
        <v>0</v>
      </c>
      <c r="Y56" s="8" t="s">
        <v>249</v>
      </c>
      <c r="Z56" s="8" t="s">
        <v>250</v>
      </c>
      <c r="AA56" s="8" t="s">
        <v>251</v>
      </c>
    </row>
    <row r="57" spans="1:27" x14ac:dyDescent="0.25">
      <c r="A57">
        <v>0</v>
      </c>
      <c r="B57">
        <v>0.28000000000000003</v>
      </c>
      <c r="C57">
        <v>56</v>
      </c>
      <c r="D57">
        <v>-0.56620000000000004</v>
      </c>
      <c r="E57">
        <v>-0.1343</v>
      </c>
      <c r="F57">
        <v>0.14467647</v>
      </c>
      <c r="G57">
        <v>0.58190343</v>
      </c>
      <c r="H57">
        <v>0.99501143000000003</v>
      </c>
      <c r="I57">
        <v>0</v>
      </c>
      <c r="J57">
        <v>3.3744999999999998</v>
      </c>
      <c r="K57" s="8" t="s">
        <v>427</v>
      </c>
      <c r="L57" s="8" t="s">
        <v>428</v>
      </c>
      <c r="M57">
        <v>0</v>
      </c>
      <c r="N57">
        <v>0</v>
      </c>
      <c r="O57">
        <v>0.41809657</v>
      </c>
      <c r="P57">
        <v>-5.7715950000000002E-2</v>
      </c>
      <c r="Q57">
        <v>2.8407160000000001E-2</v>
      </c>
      <c r="R57">
        <v>9.0163999999999999E-4</v>
      </c>
      <c r="S57">
        <v>1.9950066799999999</v>
      </c>
      <c r="T57">
        <v>-3.0732699999999999E-3</v>
      </c>
      <c r="U57">
        <v>1.99500905</v>
      </c>
      <c r="V57">
        <v>-1.8264289999999999E-2</v>
      </c>
      <c r="W57">
        <v>3.3757009999999997E-2</v>
      </c>
      <c r="X57">
        <v>0</v>
      </c>
      <c r="Y57" s="8" t="s">
        <v>254</v>
      </c>
      <c r="Z57" s="8" t="s">
        <v>255</v>
      </c>
      <c r="AA57" s="8" t="s">
        <v>256</v>
      </c>
    </row>
    <row r="58" spans="1:27" x14ac:dyDescent="0.25">
      <c r="A58">
        <v>0</v>
      </c>
      <c r="B58">
        <v>0.28499999999999998</v>
      </c>
      <c r="C58">
        <v>57</v>
      </c>
      <c r="D58">
        <v>-0.6</v>
      </c>
      <c r="E58">
        <v>-0.1265</v>
      </c>
      <c r="F58">
        <v>0.13969477</v>
      </c>
      <c r="G58">
        <v>0.61317765999999996</v>
      </c>
      <c r="H58">
        <v>0.99501143000000003</v>
      </c>
      <c r="I58">
        <v>0</v>
      </c>
      <c r="J58">
        <v>3.3494000000000002</v>
      </c>
      <c r="K58" s="8" t="s">
        <v>429</v>
      </c>
      <c r="L58" s="8" t="s">
        <v>430</v>
      </c>
      <c r="M58">
        <v>0</v>
      </c>
      <c r="N58">
        <v>0</v>
      </c>
      <c r="O58">
        <v>0.38682233999999999</v>
      </c>
      <c r="P58">
        <v>-5.5836160000000003E-2</v>
      </c>
      <c r="Q58">
        <v>2.7428999999999999E-2</v>
      </c>
      <c r="R58">
        <v>9.781499999999999E-4</v>
      </c>
      <c r="S58">
        <v>1.9950066799999999</v>
      </c>
      <c r="T58">
        <v>-3.0732699999999999E-3</v>
      </c>
      <c r="U58">
        <v>1.99500905</v>
      </c>
      <c r="V58">
        <v>-1.7580189999999999E-2</v>
      </c>
      <c r="W58">
        <v>3.2705690000000003E-2</v>
      </c>
      <c r="X58">
        <v>0</v>
      </c>
      <c r="Y58" s="8" t="s">
        <v>259</v>
      </c>
      <c r="Z58" s="8" t="s">
        <v>260</v>
      </c>
      <c r="AA58" s="8" t="s">
        <v>261</v>
      </c>
    </row>
    <row r="59" spans="1:27" x14ac:dyDescent="0.25">
      <c r="A59">
        <v>0</v>
      </c>
      <c r="B59">
        <v>0.28999999999999998</v>
      </c>
      <c r="C59">
        <v>58</v>
      </c>
      <c r="D59">
        <v>-0.63200000000000001</v>
      </c>
      <c r="E59">
        <v>-0.1181</v>
      </c>
      <c r="F59">
        <v>0.13435000999999999</v>
      </c>
      <c r="G59">
        <v>0.64295080999999998</v>
      </c>
      <c r="H59">
        <v>0.99501143000000003</v>
      </c>
      <c r="I59">
        <v>0</v>
      </c>
      <c r="J59">
        <v>3.3264</v>
      </c>
      <c r="K59" s="8" t="s">
        <v>431</v>
      </c>
      <c r="L59" s="8" t="s">
        <v>432</v>
      </c>
      <c r="M59">
        <v>0</v>
      </c>
      <c r="N59">
        <v>0</v>
      </c>
      <c r="O59">
        <v>0.35704919000000002</v>
      </c>
      <c r="P59">
        <v>-5.380857E-2</v>
      </c>
      <c r="Q59">
        <v>2.637956E-2</v>
      </c>
      <c r="R59">
        <v>1.04944E-3</v>
      </c>
      <c r="S59">
        <v>1.9950066799999999</v>
      </c>
      <c r="T59">
        <v>-3.0732699999999999E-3</v>
      </c>
      <c r="U59">
        <v>1.99500905</v>
      </c>
      <c r="V59">
        <v>-1.6867469999999999E-2</v>
      </c>
      <c r="W59">
        <v>3.1557880000000003E-2</v>
      </c>
      <c r="X59">
        <v>0</v>
      </c>
      <c r="Y59" s="8" t="s">
        <v>264</v>
      </c>
      <c r="Z59" s="8" t="s">
        <v>265</v>
      </c>
      <c r="AA59" s="8" t="s">
        <v>266</v>
      </c>
    </row>
    <row r="60" spans="1:27" x14ac:dyDescent="0.25">
      <c r="A60">
        <v>0</v>
      </c>
      <c r="B60">
        <v>0.29499999999999998</v>
      </c>
      <c r="C60">
        <v>59</v>
      </c>
      <c r="D60">
        <v>-0.66220000000000001</v>
      </c>
      <c r="E60">
        <v>-0.10920000000000001</v>
      </c>
      <c r="F60">
        <v>0.12867071999999999</v>
      </c>
      <c r="G60">
        <v>0.67118454999999999</v>
      </c>
      <c r="H60">
        <v>0.99501143000000003</v>
      </c>
      <c r="I60">
        <v>0</v>
      </c>
      <c r="J60">
        <v>3.3050999999999999</v>
      </c>
      <c r="K60" s="8" t="s">
        <v>433</v>
      </c>
      <c r="L60" s="8" t="s">
        <v>434</v>
      </c>
      <c r="M60">
        <v>0</v>
      </c>
      <c r="N60">
        <v>0</v>
      </c>
      <c r="O60">
        <v>0.32881545000000001</v>
      </c>
      <c r="P60">
        <v>-5.1644000000000002E-2</v>
      </c>
      <c r="Q60">
        <v>2.5264439999999999E-2</v>
      </c>
      <c r="R60">
        <v>1.11513E-3</v>
      </c>
      <c r="S60">
        <v>1.9950066799999999</v>
      </c>
      <c r="T60">
        <v>-3.0732699999999999E-3</v>
      </c>
      <c r="U60">
        <v>1.99500905</v>
      </c>
      <c r="V60">
        <v>-1.6127969999999998E-2</v>
      </c>
      <c r="W60">
        <v>3.032091E-2</v>
      </c>
      <c r="X60">
        <v>0</v>
      </c>
      <c r="Y60" s="8" t="s">
        <v>269</v>
      </c>
      <c r="Z60" s="8" t="s">
        <v>270</v>
      </c>
      <c r="AA60" s="8" t="s">
        <v>271</v>
      </c>
    </row>
    <row r="61" spans="1:27" x14ac:dyDescent="0.25">
      <c r="A61">
        <v>0</v>
      </c>
      <c r="B61">
        <v>0.3</v>
      </c>
      <c r="C61">
        <v>60</v>
      </c>
      <c r="D61">
        <v>-0.69069999999999998</v>
      </c>
      <c r="E61">
        <v>-9.9900000000000003E-2</v>
      </c>
      <c r="F61">
        <v>0.12268730999999999</v>
      </c>
      <c r="G61">
        <v>0.69785054999999996</v>
      </c>
      <c r="H61">
        <v>0.99501143000000003</v>
      </c>
      <c r="I61">
        <v>0</v>
      </c>
      <c r="J61">
        <v>3.2852000000000001</v>
      </c>
      <c r="K61" s="8" t="s">
        <v>435</v>
      </c>
      <c r="L61" s="8" t="s">
        <v>436</v>
      </c>
      <c r="M61">
        <v>0</v>
      </c>
      <c r="N61">
        <v>0</v>
      </c>
      <c r="O61">
        <v>0.30214944999999999</v>
      </c>
      <c r="P61">
        <v>-4.9354040000000002E-2</v>
      </c>
      <c r="Q61">
        <v>2.4089599999999999E-2</v>
      </c>
      <c r="R61">
        <v>1.1748399999999999E-3</v>
      </c>
      <c r="S61">
        <v>1.9950066799999999</v>
      </c>
      <c r="T61">
        <v>-3.0732699999999999E-3</v>
      </c>
      <c r="U61">
        <v>1.99500905</v>
      </c>
      <c r="V61">
        <v>-1.536365E-2</v>
      </c>
      <c r="W61">
        <v>2.9002549999999998E-2</v>
      </c>
      <c r="X61">
        <v>0</v>
      </c>
      <c r="Y61" s="8" t="s">
        <v>274</v>
      </c>
      <c r="Z61" s="8" t="s">
        <v>275</v>
      </c>
      <c r="AA61" s="8" t="s">
        <v>276</v>
      </c>
    </row>
    <row r="62" spans="1:27" x14ac:dyDescent="0.25">
      <c r="A62">
        <v>0</v>
      </c>
      <c r="B62">
        <v>0.30499999999999999</v>
      </c>
      <c r="C62">
        <v>61</v>
      </c>
      <c r="D62">
        <v>-0.71730000000000005</v>
      </c>
      <c r="E62">
        <v>-9.01E-2</v>
      </c>
      <c r="F62">
        <v>0.11643199999999999</v>
      </c>
      <c r="G62">
        <v>0.72292855</v>
      </c>
      <c r="H62">
        <v>0.99501143000000003</v>
      </c>
      <c r="I62">
        <v>0</v>
      </c>
      <c r="J62">
        <v>3.2665000000000002</v>
      </c>
      <c r="K62" s="8" t="s">
        <v>437</v>
      </c>
      <c r="L62" s="8" t="s">
        <v>438</v>
      </c>
      <c r="M62">
        <v>0</v>
      </c>
      <c r="N62">
        <v>0</v>
      </c>
      <c r="O62">
        <v>0.27707145</v>
      </c>
      <c r="P62">
        <v>-4.6950970000000002E-2</v>
      </c>
      <c r="Q62">
        <v>2.2861369999999999E-2</v>
      </c>
      <c r="R62">
        <v>1.2282300000000001E-3</v>
      </c>
      <c r="S62">
        <v>1.9950066799999999</v>
      </c>
      <c r="T62">
        <v>-3.0732699999999999E-3</v>
      </c>
      <c r="U62">
        <v>1.99500905</v>
      </c>
      <c r="V62">
        <v>-1.457667E-2</v>
      </c>
      <c r="W62">
        <v>2.7611E-2</v>
      </c>
      <c r="X62">
        <v>0</v>
      </c>
      <c r="Y62" s="8" t="s">
        <v>279</v>
      </c>
      <c r="Z62" s="8" t="s">
        <v>280</v>
      </c>
      <c r="AA62" s="8" t="s">
        <v>281</v>
      </c>
    </row>
    <row r="63" spans="1:27" x14ac:dyDescent="0.25">
      <c r="A63">
        <v>0</v>
      </c>
      <c r="B63">
        <v>0.31</v>
      </c>
      <c r="C63">
        <v>62</v>
      </c>
      <c r="D63">
        <v>-0.74209999999999998</v>
      </c>
      <c r="E63">
        <v>-0.08</v>
      </c>
      <c r="F63">
        <v>0.10993878999999999</v>
      </c>
      <c r="G63">
        <v>0.74640503000000002</v>
      </c>
      <c r="H63">
        <v>0.99501143000000003</v>
      </c>
      <c r="I63">
        <v>0</v>
      </c>
      <c r="J63">
        <v>3.2490000000000001</v>
      </c>
      <c r="K63" s="8" t="s">
        <v>439</v>
      </c>
      <c r="L63" s="8" t="s">
        <v>440</v>
      </c>
      <c r="M63">
        <v>0</v>
      </c>
      <c r="N63">
        <v>0</v>
      </c>
      <c r="O63">
        <v>0.25359496999999998</v>
      </c>
      <c r="P63">
        <v>-4.4447800000000003E-2</v>
      </c>
      <c r="Q63">
        <v>2.158643E-2</v>
      </c>
      <c r="R63">
        <v>1.27494E-3</v>
      </c>
      <c r="S63">
        <v>1.9950066799999999</v>
      </c>
      <c r="T63">
        <v>-3.0732699999999999E-3</v>
      </c>
      <c r="U63">
        <v>1.99500905</v>
      </c>
      <c r="V63">
        <v>-1.3769379999999999E-2</v>
      </c>
      <c r="W63">
        <v>2.6154819999999999E-2</v>
      </c>
      <c r="X63">
        <v>0</v>
      </c>
      <c r="Y63" s="8" t="s">
        <v>284</v>
      </c>
      <c r="Z63" s="8" t="s">
        <v>285</v>
      </c>
      <c r="AA63" s="8" t="s">
        <v>286</v>
      </c>
    </row>
    <row r="64" spans="1:27" x14ac:dyDescent="0.25">
      <c r="A64">
        <v>0</v>
      </c>
      <c r="B64">
        <v>0.315</v>
      </c>
      <c r="C64">
        <v>63</v>
      </c>
      <c r="D64">
        <v>-0.7651</v>
      </c>
      <c r="E64">
        <v>-6.9699999999999998E-2</v>
      </c>
      <c r="F64">
        <v>0.10324339</v>
      </c>
      <c r="G64">
        <v>0.76827245</v>
      </c>
      <c r="H64">
        <v>0.99501143000000003</v>
      </c>
      <c r="I64">
        <v>0</v>
      </c>
      <c r="J64">
        <v>3.2324999999999999</v>
      </c>
      <c r="K64" s="8" t="s">
        <v>441</v>
      </c>
      <c r="L64" s="8" t="s">
        <v>442</v>
      </c>
      <c r="M64">
        <v>0</v>
      </c>
      <c r="N64">
        <v>0</v>
      </c>
      <c r="O64">
        <v>0.23172755</v>
      </c>
      <c r="P64">
        <v>-4.1858220000000002E-2</v>
      </c>
      <c r="Q64">
        <v>2.0271790000000001E-2</v>
      </c>
      <c r="R64">
        <v>1.3146399999999999E-3</v>
      </c>
      <c r="S64">
        <v>1.9950066799999999</v>
      </c>
      <c r="T64">
        <v>-3.0732699999999999E-3</v>
      </c>
      <c r="U64">
        <v>1.99500905</v>
      </c>
      <c r="V64">
        <v>-1.294443E-2</v>
      </c>
      <c r="W64">
        <v>2.464297E-2</v>
      </c>
      <c r="X64">
        <v>0</v>
      </c>
      <c r="Y64" s="8" t="s">
        <v>289</v>
      </c>
      <c r="Z64" s="8" t="s">
        <v>290</v>
      </c>
      <c r="AA64" s="8" t="s">
        <v>291</v>
      </c>
    </row>
    <row r="65" spans="1:27" x14ac:dyDescent="0.25">
      <c r="A65">
        <v>0</v>
      </c>
      <c r="B65">
        <v>0.32</v>
      </c>
      <c r="C65">
        <v>64</v>
      </c>
      <c r="D65">
        <v>-0.7863</v>
      </c>
      <c r="E65">
        <v>-5.9299999999999999E-2</v>
      </c>
      <c r="F65">
        <v>9.6383129999999997E-2</v>
      </c>
      <c r="G65">
        <v>0.78852887000000005</v>
      </c>
      <c r="H65">
        <v>0.99501143000000003</v>
      </c>
      <c r="I65">
        <v>0</v>
      </c>
      <c r="J65">
        <v>3.2168000000000001</v>
      </c>
      <c r="K65" s="8" t="s">
        <v>443</v>
      </c>
      <c r="L65" s="8" t="s">
        <v>444</v>
      </c>
      <c r="M65">
        <v>0</v>
      </c>
      <c r="N65">
        <v>0</v>
      </c>
      <c r="O65">
        <v>0.21147113000000001</v>
      </c>
      <c r="P65">
        <v>-3.9196580000000002E-2</v>
      </c>
      <c r="Q65">
        <v>1.8924779999999999E-2</v>
      </c>
      <c r="R65">
        <v>1.34701E-3</v>
      </c>
      <c r="S65">
        <v>1.9950066799999999</v>
      </c>
      <c r="T65">
        <v>-3.0732699999999999E-3</v>
      </c>
      <c r="U65">
        <v>1.99500905</v>
      </c>
      <c r="V65">
        <v>-1.2104709999999999E-2</v>
      </c>
      <c r="W65">
        <v>2.3084710000000001E-2</v>
      </c>
      <c r="X65">
        <v>0</v>
      </c>
      <c r="Y65" s="8" t="s">
        <v>294</v>
      </c>
      <c r="Z65" s="8" t="s">
        <v>295</v>
      </c>
      <c r="AA65" s="8" t="s">
        <v>296</v>
      </c>
    </row>
    <row r="66" spans="1:27" x14ac:dyDescent="0.25">
      <c r="A66">
        <v>0</v>
      </c>
      <c r="B66">
        <v>0.32500000000000001</v>
      </c>
      <c r="C66">
        <v>65</v>
      </c>
      <c r="D66">
        <v>-0.80569999999999997</v>
      </c>
      <c r="E66">
        <v>-4.87E-2</v>
      </c>
      <c r="F66">
        <v>8.9396870000000003E-2</v>
      </c>
      <c r="G66">
        <v>0.80717784999999997</v>
      </c>
      <c r="H66">
        <v>0.99501143000000003</v>
      </c>
      <c r="I66">
        <v>0</v>
      </c>
      <c r="J66">
        <v>3.202</v>
      </c>
      <c r="K66" s="8" t="s">
        <v>445</v>
      </c>
      <c r="L66" s="8" t="s">
        <v>446</v>
      </c>
      <c r="M66">
        <v>0</v>
      </c>
      <c r="N66">
        <v>0</v>
      </c>
      <c r="O66">
        <v>0.19282215</v>
      </c>
      <c r="P66">
        <v>-3.6477820000000001E-2</v>
      </c>
      <c r="Q66">
        <v>1.7553030000000001E-2</v>
      </c>
      <c r="R66">
        <v>1.3717499999999999E-3</v>
      </c>
      <c r="S66">
        <v>1.9950066799999999</v>
      </c>
      <c r="T66">
        <v>-3.0732699999999999E-3</v>
      </c>
      <c r="U66">
        <v>1.99500905</v>
      </c>
      <c r="V66">
        <v>-1.125343E-2</v>
      </c>
      <c r="W66">
        <v>2.1489629999999999E-2</v>
      </c>
      <c r="X66">
        <v>0</v>
      </c>
      <c r="Y66" s="8" t="s">
        <v>299</v>
      </c>
      <c r="Z66" s="8" t="s">
        <v>300</v>
      </c>
      <c r="AA66" s="8" t="s">
        <v>301</v>
      </c>
    </row>
    <row r="67" spans="1:27" x14ac:dyDescent="0.25">
      <c r="A67">
        <v>0</v>
      </c>
      <c r="B67">
        <v>0.33</v>
      </c>
      <c r="C67">
        <v>66</v>
      </c>
      <c r="D67">
        <v>-0.82330000000000003</v>
      </c>
      <c r="E67">
        <v>-3.8199999999999998E-2</v>
      </c>
      <c r="F67">
        <v>8.2324910000000001E-2</v>
      </c>
      <c r="G67">
        <v>0.82422863000000002</v>
      </c>
      <c r="H67">
        <v>0.99501143000000003</v>
      </c>
      <c r="I67">
        <v>0</v>
      </c>
      <c r="J67">
        <v>3.1880000000000002</v>
      </c>
      <c r="K67" s="8" t="s">
        <v>447</v>
      </c>
      <c r="L67" s="8" t="s">
        <v>448</v>
      </c>
      <c r="M67">
        <v>0</v>
      </c>
      <c r="N67">
        <v>0</v>
      </c>
      <c r="O67">
        <v>0.17577137000000001</v>
      </c>
      <c r="P67">
        <v>-3.3717490000000003E-2</v>
      </c>
      <c r="Q67">
        <v>1.6164459999999999E-2</v>
      </c>
      <c r="R67">
        <v>1.3885799999999999E-3</v>
      </c>
      <c r="S67">
        <v>1.9950066799999999</v>
      </c>
      <c r="T67">
        <v>-3.0732699999999999E-3</v>
      </c>
      <c r="U67">
        <v>1.99500905</v>
      </c>
      <c r="V67">
        <v>-1.03941E-2</v>
      </c>
      <c r="W67">
        <v>1.986754E-2</v>
      </c>
      <c r="X67">
        <v>0</v>
      </c>
      <c r="Y67" s="8" t="s">
        <v>304</v>
      </c>
      <c r="Z67" s="8" t="s">
        <v>305</v>
      </c>
      <c r="AA67" s="8" t="s">
        <v>306</v>
      </c>
    </row>
    <row r="68" spans="1:27" x14ac:dyDescent="0.25">
      <c r="A68">
        <v>0</v>
      </c>
      <c r="B68">
        <v>0.33500000000000002</v>
      </c>
      <c r="C68">
        <v>67</v>
      </c>
      <c r="D68">
        <v>-0.83919999999999995</v>
      </c>
      <c r="E68">
        <v>-2.7799999999999998E-2</v>
      </c>
      <c r="F68">
        <v>7.5208929999999993E-2</v>
      </c>
      <c r="G68">
        <v>0.83969643000000005</v>
      </c>
      <c r="H68">
        <v>0.99501143000000003</v>
      </c>
      <c r="I68">
        <v>0</v>
      </c>
      <c r="J68">
        <v>3.1747999999999998</v>
      </c>
      <c r="K68" s="8" t="s">
        <v>449</v>
      </c>
      <c r="L68" s="8" t="s">
        <v>450</v>
      </c>
      <c r="M68">
        <v>0</v>
      </c>
      <c r="N68">
        <v>0</v>
      </c>
      <c r="O68">
        <v>0.16030357000000001</v>
      </c>
      <c r="P68">
        <v>-3.0931699999999999E-2</v>
      </c>
      <c r="Q68">
        <v>1.4767239999999999E-2</v>
      </c>
      <c r="R68">
        <v>1.39722E-3</v>
      </c>
      <c r="S68">
        <v>1.9950066799999999</v>
      </c>
      <c r="T68">
        <v>-3.0732699999999999E-3</v>
      </c>
      <c r="U68">
        <v>1.99500905</v>
      </c>
      <c r="V68">
        <v>-9.5305500000000005E-3</v>
      </c>
      <c r="W68">
        <v>1.822855E-2</v>
      </c>
      <c r="X68">
        <v>0</v>
      </c>
      <c r="Y68" s="8" t="s">
        <v>309</v>
      </c>
      <c r="Z68" s="8" t="s">
        <v>310</v>
      </c>
      <c r="AA68" s="8" t="s">
        <v>311</v>
      </c>
    </row>
    <row r="69" spans="1:27" x14ac:dyDescent="0.25">
      <c r="A69">
        <v>0</v>
      </c>
      <c r="B69">
        <v>0.34</v>
      </c>
      <c r="C69">
        <v>68</v>
      </c>
      <c r="D69">
        <v>-0.85340000000000005</v>
      </c>
      <c r="E69">
        <v>-1.7600000000000001E-2</v>
      </c>
      <c r="F69">
        <v>6.8091879999999994E-2</v>
      </c>
      <c r="G69">
        <v>0.85360296000000002</v>
      </c>
      <c r="H69">
        <v>0.99501143000000003</v>
      </c>
      <c r="I69">
        <v>0</v>
      </c>
      <c r="J69">
        <v>3.1621999999999999</v>
      </c>
      <c r="K69" s="8" t="s">
        <v>451</v>
      </c>
      <c r="L69" s="8" t="s">
        <v>452</v>
      </c>
      <c r="M69">
        <v>0</v>
      </c>
      <c r="N69">
        <v>0</v>
      </c>
      <c r="O69">
        <v>0.14639704000000001</v>
      </c>
      <c r="P69">
        <v>-2.813705E-2</v>
      </c>
      <c r="Q69">
        <v>1.3369809999999999E-2</v>
      </c>
      <c r="R69">
        <v>1.3974300000000001E-3</v>
      </c>
      <c r="S69">
        <v>1.9950066799999999</v>
      </c>
      <c r="T69">
        <v>-3.0732699999999999E-3</v>
      </c>
      <c r="U69">
        <v>1.99500905</v>
      </c>
      <c r="V69">
        <v>-8.6669199999999998E-3</v>
      </c>
      <c r="W69">
        <v>1.6582949999999999E-2</v>
      </c>
      <c r="X69">
        <v>0</v>
      </c>
      <c r="Y69" s="8" t="s">
        <v>314</v>
      </c>
      <c r="Z69" s="8" t="s">
        <v>315</v>
      </c>
      <c r="AA69" s="8" t="s">
        <v>316</v>
      </c>
    </row>
    <row r="70" spans="1:27" x14ac:dyDescent="0.25">
      <c r="A70">
        <v>0</v>
      </c>
      <c r="B70">
        <v>0.34499999999999997</v>
      </c>
      <c r="C70">
        <v>69</v>
      </c>
      <c r="D70">
        <v>-0.8659</v>
      </c>
      <c r="E70">
        <v>-7.7000000000000002E-3</v>
      </c>
      <c r="F70">
        <v>6.1017979999999999E-2</v>
      </c>
      <c r="G70">
        <v>0.86597707999999995</v>
      </c>
      <c r="H70">
        <v>0.99501143000000003</v>
      </c>
      <c r="I70">
        <v>0</v>
      </c>
      <c r="J70">
        <v>3.1503999999999999</v>
      </c>
      <c r="K70" s="8" t="s">
        <v>453</v>
      </c>
      <c r="L70" s="8" t="s">
        <v>454</v>
      </c>
      <c r="M70">
        <v>0</v>
      </c>
      <c r="N70">
        <v>0</v>
      </c>
      <c r="O70">
        <v>0.13402291999999999</v>
      </c>
      <c r="P70">
        <v>-2.5350660000000001E-2</v>
      </c>
      <c r="Q70">
        <v>1.1980849999999999E-2</v>
      </c>
      <c r="R70">
        <v>1.3889600000000001E-3</v>
      </c>
      <c r="S70">
        <v>1.9950066799999999</v>
      </c>
      <c r="T70">
        <v>-3.0732699999999999E-3</v>
      </c>
      <c r="U70">
        <v>1.99500905</v>
      </c>
      <c r="V70">
        <v>-7.8076500000000002E-3</v>
      </c>
      <c r="W70">
        <v>1.4941279999999999E-2</v>
      </c>
      <c r="X70">
        <v>0</v>
      </c>
      <c r="Y70" s="8" t="s">
        <v>319</v>
      </c>
      <c r="Z70" s="8" t="s">
        <v>320</v>
      </c>
      <c r="AA70" s="8" t="s">
        <v>321</v>
      </c>
    </row>
    <row r="71" spans="1:27" x14ac:dyDescent="0.25">
      <c r="A71">
        <v>0</v>
      </c>
      <c r="B71">
        <v>0.35</v>
      </c>
      <c r="C71">
        <v>70</v>
      </c>
      <c r="D71">
        <v>-0.87690000000000001</v>
      </c>
      <c r="E71">
        <v>2E-3</v>
      </c>
      <c r="F71">
        <v>5.4032740000000003E-2</v>
      </c>
      <c r="G71">
        <v>0.87685564999999999</v>
      </c>
      <c r="H71">
        <v>0.99501143000000003</v>
      </c>
      <c r="I71">
        <v>0</v>
      </c>
      <c r="J71">
        <v>3.1393</v>
      </c>
      <c r="K71" s="8" t="s">
        <v>455</v>
      </c>
      <c r="L71" s="8" t="s">
        <v>456</v>
      </c>
      <c r="M71">
        <v>0</v>
      </c>
      <c r="N71">
        <v>0</v>
      </c>
      <c r="O71">
        <v>0.12314435</v>
      </c>
      <c r="P71">
        <v>-2.2590160000000001E-2</v>
      </c>
      <c r="Q71">
        <v>1.06093E-2</v>
      </c>
      <c r="R71">
        <v>1.37155E-3</v>
      </c>
      <c r="S71">
        <v>1.9950066799999999</v>
      </c>
      <c r="T71">
        <v>-3.0732699999999999E-3</v>
      </c>
      <c r="U71">
        <v>1.99500905</v>
      </c>
      <c r="V71">
        <v>-6.9574900000000002E-3</v>
      </c>
      <c r="W71">
        <v>1.331426E-2</v>
      </c>
      <c r="X71">
        <v>0</v>
      </c>
      <c r="Y71" s="8" t="s">
        <v>324</v>
      </c>
      <c r="Z71" s="8" t="s">
        <v>325</v>
      </c>
      <c r="AA71" s="8" t="s">
        <v>326</v>
      </c>
    </row>
    <row r="72" spans="1:27" x14ac:dyDescent="0.25">
      <c r="A72">
        <v>0</v>
      </c>
      <c r="B72">
        <v>0.35499999999999998</v>
      </c>
      <c r="C72">
        <v>71</v>
      </c>
      <c r="D72">
        <v>-0.88619999999999999</v>
      </c>
      <c r="E72">
        <v>1.12E-2</v>
      </c>
      <c r="F72">
        <v>4.7183070000000001E-2</v>
      </c>
      <c r="G72">
        <v>0.88628454000000001</v>
      </c>
      <c r="H72">
        <v>0.99501143000000003</v>
      </c>
      <c r="I72">
        <v>0</v>
      </c>
      <c r="J72">
        <v>3.129</v>
      </c>
      <c r="K72" s="8" t="s">
        <v>457</v>
      </c>
      <c r="L72" s="8" t="s">
        <v>458</v>
      </c>
      <c r="M72">
        <v>0</v>
      </c>
      <c r="N72">
        <v>0</v>
      </c>
      <c r="O72">
        <v>0.11371546</v>
      </c>
      <c r="P72">
        <v>-1.9873680000000001E-2</v>
      </c>
      <c r="Q72">
        <v>9.2643699999999992E-3</v>
      </c>
      <c r="R72">
        <v>1.34493E-3</v>
      </c>
      <c r="S72">
        <v>1.9950066799999999</v>
      </c>
      <c r="T72">
        <v>-3.0732699999999999E-3</v>
      </c>
      <c r="U72">
        <v>1.99500905</v>
      </c>
      <c r="V72">
        <v>-6.1214900000000003E-3</v>
      </c>
      <c r="W72">
        <v>1.171287E-2</v>
      </c>
      <c r="X72">
        <v>0</v>
      </c>
      <c r="Y72" s="8" t="s">
        <v>329</v>
      </c>
      <c r="Z72" s="8" t="s">
        <v>330</v>
      </c>
      <c r="AA72" s="8" t="s">
        <v>331</v>
      </c>
    </row>
    <row r="73" spans="1:27" x14ac:dyDescent="0.25">
      <c r="A73">
        <v>0</v>
      </c>
      <c r="B73">
        <v>0.36</v>
      </c>
      <c r="C73">
        <v>72</v>
      </c>
      <c r="D73">
        <v>-0.89410000000000001</v>
      </c>
      <c r="E73">
        <v>1.9900000000000001E-2</v>
      </c>
      <c r="F73">
        <v>4.0517450000000003E-2</v>
      </c>
      <c r="G73">
        <v>0.89432007000000002</v>
      </c>
      <c r="H73">
        <v>0.99501143000000003</v>
      </c>
      <c r="I73">
        <v>0</v>
      </c>
      <c r="J73">
        <v>3.1194000000000002</v>
      </c>
      <c r="K73" s="8" t="s">
        <v>459</v>
      </c>
      <c r="L73" s="8" t="s">
        <v>460</v>
      </c>
      <c r="M73">
        <v>0</v>
      </c>
      <c r="N73">
        <v>0</v>
      </c>
      <c r="O73">
        <v>0.10567993000000001</v>
      </c>
      <c r="P73">
        <v>-1.7219959999999999E-2</v>
      </c>
      <c r="Q73">
        <v>7.9555800000000003E-3</v>
      </c>
      <c r="R73">
        <v>1.30879E-3</v>
      </c>
      <c r="S73">
        <v>1.9950066799999999</v>
      </c>
      <c r="T73">
        <v>-3.0732699999999999E-3</v>
      </c>
      <c r="U73">
        <v>1.99500905</v>
      </c>
      <c r="V73">
        <v>-5.3050399999999996E-3</v>
      </c>
      <c r="W73">
        <v>1.014837E-2</v>
      </c>
      <c r="X73">
        <v>0</v>
      </c>
      <c r="Y73" s="8" t="s">
        <v>334</v>
      </c>
      <c r="Z73" s="8" t="s">
        <v>335</v>
      </c>
      <c r="AA73" s="8" t="s">
        <v>336</v>
      </c>
    </row>
    <row r="74" spans="1:27" x14ac:dyDescent="0.25">
      <c r="A74">
        <v>0</v>
      </c>
      <c r="B74">
        <v>0.36499999999999999</v>
      </c>
      <c r="C74">
        <v>73</v>
      </c>
      <c r="D74">
        <v>-0.90059999999999996</v>
      </c>
      <c r="E74">
        <v>2.8000000000000001E-2</v>
      </c>
      <c r="F74">
        <v>3.4086459999999999E-2</v>
      </c>
      <c r="G74">
        <v>0.90103096000000005</v>
      </c>
      <c r="H74">
        <v>0.99501143000000003</v>
      </c>
      <c r="I74">
        <v>0</v>
      </c>
      <c r="J74">
        <v>3.1105</v>
      </c>
      <c r="K74" s="8" t="s">
        <v>461</v>
      </c>
      <c r="L74" s="8" t="s">
        <v>462</v>
      </c>
      <c r="M74">
        <v>0</v>
      </c>
      <c r="N74">
        <v>0</v>
      </c>
      <c r="O74">
        <v>9.8969039999999994E-2</v>
      </c>
      <c r="P74">
        <v>-1.464844E-2</v>
      </c>
      <c r="Q74">
        <v>6.6928600000000001E-3</v>
      </c>
      <c r="R74">
        <v>1.2627199999999999E-3</v>
      </c>
      <c r="S74">
        <v>1.9950066799999999</v>
      </c>
      <c r="T74">
        <v>-3.0732699999999999E-3</v>
      </c>
      <c r="U74">
        <v>1.99500905</v>
      </c>
      <c r="V74">
        <v>-4.5138499999999998E-3</v>
      </c>
      <c r="W74">
        <v>8.6323400000000005E-3</v>
      </c>
      <c r="X74">
        <v>0</v>
      </c>
      <c r="Y74" s="8" t="s">
        <v>339</v>
      </c>
      <c r="Z74" s="8" t="s">
        <v>340</v>
      </c>
      <c r="AA74" s="8" t="s">
        <v>341</v>
      </c>
    </row>
    <row r="75" spans="1:27" x14ac:dyDescent="0.25">
      <c r="A75">
        <v>0</v>
      </c>
      <c r="B75">
        <v>0.37</v>
      </c>
      <c r="C75">
        <v>74</v>
      </c>
      <c r="D75">
        <v>-0.90580000000000005</v>
      </c>
      <c r="E75">
        <v>3.5400000000000001E-2</v>
      </c>
      <c r="F75">
        <v>2.7943409999999998E-2</v>
      </c>
      <c r="G75">
        <v>0.90650156999999998</v>
      </c>
      <c r="H75">
        <v>0.99501143000000003</v>
      </c>
      <c r="I75">
        <v>0</v>
      </c>
      <c r="J75">
        <v>3.1025</v>
      </c>
      <c r="K75" s="8" t="s">
        <v>463</v>
      </c>
      <c r="L75" s="8" t="s">
        <v>464</v>
      </c>
      <c r="M75">
        <v>0</v>
      </c>
      <c r="N75">
        <v>0</v>
      </c>
      <c r="O75">
        <v>9.3498429999999993E-2</v>
      </c>
      <c r="P75">
        <v>-1.2179540000000001E-2</v>
      </c>
      <c r="Q75">
        <v>5.4866699999999999E-3</v>
      </c>
      <c r="R75">
        <v>1.20619E-3</v>
      </c>
      <c r="S75">
        <v>1.9950066799999999</v>
      </c>
      <c r="T75">
        <v>-3.0732699999999999E-3</v>
      </c>
      <c r="U75">
        <v>1.99500905</v>
      </c>
      <c r="V75">
        <v>-3.7540199999999998E-3</v>
      </c>
      <c r="W75">
        <v>7.1769099999999999E-3</v>
      </c>
      <c r="X75">
        <v>0</v>
      </c>
      <c r="Y75" s="8" t="s">
        <v>344</v>
      </c>
      <c r="Z75" s="8" t="s">
        <v>345</v>
      </c>
      <c r="AA75" s="8" t="s">
        <v>346</v>
      </c>
    </row>
    <row r="76" spans="1:27" x14ac:dyDescent="0.25">
      <c r="A76">
        <v>0</v>
      </c>
      <c r="B76">
        <v>0.375</v>
      </c>
      <c r="C76">
        <v>75</v>
      </c>
      <c r="D76">
        <v>-0.90990000000000004</v>
      </c>
      <c r="E76">
        <v>4.2099999999999999E-2</v>
      </c>
      <c r="F76">
        <v>2.2145640000000001E-2</v>
      </c>
      <c r="G76">
        <v>0.91083807000000006</v>
      </c>
      <c r="H76">
        <v>0.99501143000000003</v>
      </c>
      <c r="I76">
        <v>0</v>
      </c>
      <c r="J76">
        <v>3.0954000000000002</v>
      </c>
      <c r="K76" s="8" t="s">
        <v>465</v>
      </c>
      <c r="L76" s="8" t="s">
        <v>466</v>
      </c>
      <c r="M76">
        <v>0</v>
      </c>
      <c r="N76">
        <v>0</v>
      </c>
      <c r="O76">
        <v>8.916193E-2</v>
      </c>
      <c r="P76">
        <v>-9.8349600000000002E-3</v>
      </c>
      <c r="Q76">
        <v>4.3482900000000003E-3</v>
      </c>
      <c r="R76">
        <v>1.13839E-3</v>
      </c>
      <c r="S76">
        <v>1.9950066799999999</v>
      </c>
      <c r="T76">
        <v>-3.0732699999999999E-3</v>
      </c>
      <c r="U76">
        <v>1.99500905</v>
      </c>
      <c r="V76">
        <v>-3.0321699999999998E-3</v>
      </c>
      <c r="W76">
        <v>5.7949300000000002E-3</v>
      </c>
      <c r="X76">
        <v>0</v>
      </c>
      <c r="Y76" s="8" t="s">
        <v>349</v>
      </c>
      <c r="Z76" s="8" t="s">
        <v>350</v>
      </c>
      <c r="AA76" s="8" t="s">
        <v>351</v>
      </c>
    </row>
    <row r="77" spans="1:27" x14ac:dyDescent="0.25">
      <c r="A77">
        <v>0</v>
      </c>
      <c r="B77">
        <v>0.38</v>
      </c>
      <c r="C77">
        <v>76</v>
      </c>
      <c r="D77">
        <v>-0.91290000000000004</v>
      </c>
      <c r="E77">
        <v>4.7800000000000002E-2</v>
      </c>
      <c r="F77">
        <v>1.6756710000000001E-2</v>
      </c>
      <c r="G77">
        <v>0.91418626999999997</v>
      </c>
      <c r="H77">
        <v>0.99501143000000003</v>
      </c>
      <c r="I77">
        <v>0</v>
      </c>
      <c r="J77">
        <v>3.0891999999999999</v>
      </c>
      <c r="K77" s="8" t="s">
        <v>467</v>
      </c>
      <c r="L77" s="8" t="s">
        <v>468</v>
      </c>
      <c r="M77">
        <v>0</v>
      </c>
      <c r="N77">
        <v>0</v>
      </c>
      <c r="O77">
        <v>8.5813730000000005E-2</v>
      </c>
      <c r="P77">
        <v>-8.7768499999999992E-3</v>
      </c>
      <c r="Q77">
        <v>3.2901699999999998E-3</v>
      </c>
      <c r="R77">
        <v>1.0581200000000001E-3</v>
      </c>
      <c r="S77">
        <v>1.9950066799999999</v>
      </c>
      <c r="T77">
        <v>-3.0732699999999999E-3</v>
      </c>
      <c r="U77">
        <v>1.99500905</v>
      </c>
      <c r="V77">
        <v>-1.0147999999999999E-3</v>
      </c>
      <c r="W77">
        <v>1.93841E-3</v>
      </c>
      <c r="X77">
        <v>0</v>
      </c>
      <c r="Y77" s="8" t="s">
        <v>469</v>
      </c>
      <c r="Z77" s="8" t="s">
        <v>470</v>
      </c>
      <c r="AA77" s="8" t="s">
        <v>471</v>
      </c>
    </row>
    <row r="78" spans="1:27" x14ac:dyDescent="0.25">
      <c r="A78">
        <v>0</v>
      </c>
      <c r="B78">
        <v>0.38500000000000001</v>
      </c>
      <c r="C78">
        <v>77</v>
      </c>
      <c r="D78">
        <v>-0.91390000000000005</v>
      </c>
      <c r="E78">
        <v>4.9799999999999997E-2</v>
      </c>
      <c r="F78">
        <v>1.186137E-2</v>
      </c>
      <c r="G78">
        <v>0.91530303999999996</v>
      </c>
      <c r="H78">
        <v>0.99501143000000003</v>
      </c>
      <c r="I78">
        <v>0</v>
      </c>
      <c r="J78">
        <v>3.0872000000000002</v>
      </c>
      <c r="K78" s="8" t="s">
        <v>472</v>
      </c>
      <c r="L78" s="8" t="s">
        <v>473</v>
      </c>
      <c r="M78">
        <v>0</v>
      </c>
      <c r="N78">
        <v>0</v>
      </c>
      <c r="O78">
        <v>8.4696960000000002E-2</v>
      </c>
      <c r="P78">
        <v>-7.8156500000000004E-3</v>
      </c>
      <c r="Q78">
        <v>2.3289700000000001E-3</v>
      </c>
      <c r="R78">
        <v>9.6120000000000005E-4</v>
      </c>
      <c r="S78">
        <v>1.9950066799999999</v>
      </c>
      <c r="T78">
        <v>-3.0732699999999999E-3</v>
      </c>
      <c r="U78">
        <v>1.99500905</v>
      </c>
      <c r="V78">
        <v>-7.1852000000000005E-4</v>
      </c>
      <c r="W78">
        <v>1.3720200000000001E-3</v>
      </c>
      <c r="X78">
        <v>0</v>
      </c>
      <c r="Y78" s="8" t="s">
        <v>1024</v>
      </c>
      <c r="Z78" s="8" t="s">
        <v>1025</v>
      </c>
      <c r="AA78" s="8" t="s">
        <v>1026</v>
      </c>
    </row>
    <row r="79" spans="1:27" x14ac:dyDescent="0.25">
      <c r="A79">
        <v>0</v>
      </c>
      <c r="B79">
        <v>0.39</v>
      </c>
      <c r="C79">
        <v>78</v>
      </c>
      <c r="D79">
        <v>-0.91469999999999996</v>
      </c>
      <c r="E79">
        <v>5.11E-2</v>
      </c>
      <c r="F79">
        <v>7.5428700000000001E-3</v>
      </c>
      <c r="G79">
        <v>0.91609607000000004</v>
      </c>
      <c r="H79">
        <v>0.99501143000000003</v>
      </c>
      <c r="I79">
        <v>0</v>
      </c>
      <c r="J79">
        <v>3.0857000000000001</v>
      </c>
      <c r="K79" s="8" t="s">
        <v>474</v>
      </c>
      <c r="L79" s="8" t="s">
        <v>475</v>
      </c>
      <c r="M79">
        <v>0</v>
      </c>
      <c r="N79">
        <v>0</v>
      </c>
      <c r="O79">
        <v>8.3903930000000002E-2</v>
      </c>
      <c r="P79">
        <v>-6.9677100000000002E-3</v>
      </c>
      <c r="Q79">
        <v>1.4810400000000001E-3</v>
      </c>
      <c r="R79">
        <v>8.4794000000000004E-4</v>
      </c>
      <c r="S79">
        <v>1.9950066799999999</v>
      </c>
      <c r="T79">
        <v>-3.0732699999999999E-3</v>
      </c>
      <c r="U79">
        <v>1.99500905</v>
      </c>
      <c r="V79">
        <v>-4.5702999999999998E-4</v>
      </c>
      <c r="W79">
        <v>8.7242999999999999E-4</v>
      </c>
      <c r="X79">
        <v>0</v>
      </c>
      <c r="Y79" s="8" t="s">
        <v>1027</v>
      </c>
      <c r="Z79" s="8" t="s">
        <v>1028</v>
      </c>
      <c r="AA79" s="8" t="s">
        <v>1029</v>
      </c>
    </row>
    <row r="80" spans="1:27" x14ac:dyDescent="0.25">
      <c r="A80">
        <v>0</v>
      </c>
      <c r="B80">
        <v>0.39500000000000002</v>
      </c>
      <c r="C80">
        <v>79</v>
      </c>
      <c r="D80">
        <v>-0.91510000000000002</v>
      </c>
      <c r="E80">
        <v>5.1999999999999998E-2</v>
      </c>
      <c r="F80">
        <v>3.9176000000000002E-3</v>
      </c>
      <c r="G80">
        <v>0.91660149000000002</v>
      </c>
      <c r="H80">
        <v>0.99501143000000003</v>
      </c>
      <c r="I80">
        <v>0</v>
      </c>
      <c r="J80">
        <v>3.0848</v>
      </c>
      <c r="K80" s="8" t="s">
        <v>476</v>
      </c>
      <c r="L80" s="8" t="s">
        <v>477</v>
      </c>
      <c r="M80">
        <v>0</v>
      </c>
      <c r="N80">
        <v>0</v>
      </c>
      <c r="O80">
        <v>8.3398509999999995E-2</v>
      </c>
      <c r="P80">
        <v>-6.2558900000000001E-3</v>
      </c>
      <c r="Q80">
        <v>7.6922000000000004E-4</v>
      </c>
      <c r="R80">
        <v>7.1182000000000005E-4</v>
      </c>
      <c r="S80">
        <v>1.9950066799999999</v>
      </c>
      <c r="T80">
        <v>-3.0732699999999999E-3</v>
      </c>
      <c r="U80">
        <v>1.99500905</v>
      </c>
      <c r="V80">
        <v>-2.3743000000000001E-4</v>
      </c>
      <c r="W80">
        <v>4.5309000000000001E-4</v>
      </c>
      <c r="X80">
        <v>0</v>
      </c>
      <c r="Y80" s="8" t="s">
        <v>1030</v>
      </c>
      <c r="Z80" s="8" t="s">
        <v>1031</v>
      </c>
      <c r="AA80" s="8" t="s">
        <v>1032</v>
      </c>
    </row>
    <row r="81" spans="1:27" x14ac:dyDescent="0.25">
      <c r="A81">
        <v>0</v>
      </c>
      <c r="B81">
        <v>0.4</v>
      </c>
      <c r="C81">
        <v>80</v>
      </c>
      <c r="D81">
        <v>-0.91539999999999999</v>
      </c>
      <c r="E81">
        <v>5.2499999999999998E-2</v>
      </c>
      <c r="F81">
        <v>1.18421E-3</v>
      </c>
      <c r="G81">
        <v>0.91686436000000004</v>
      </c>
      <c r="H81">
        <v>0.99501143000000003</v>
      </c>
      <c r="I81">
        <v>0</v>
      </c>
      <c r="J81">
        <v>3.0842999999999998</v>
      </c>
      <c r="K81" s="8" t="s">
        <v>1033</v>
      </c>
      <c r="L81" s="8" t="s">
        <v>1034</v>
      </c>
      <c r="M81">
        <v>0</v>
      </c>
      <c r="N81">
        <v>0</v>
      </c>
      <c r="O81">
        <v>8.3135639999999997E-2</v>
      </c>
      <c r="P81">
        <v>-5.7191899999999999E-3</v>
      </c>
      <c r="Q81">
        <v>2.3252E-4</v>
      </c>
      <c r="R81">
        <v>5.3669999999999998E-4</v>
      </c>
      <c r="S81">
        <v>1.9950066799999999</v>
      </c>
      <c r="T81">
        <v>-3.0732699999999999E-3</v>
      </c>
      <c r="U81">
        <v>1.99500905</v>
      </c>
      <c r="V81">
        <v>-7.1790000000000002E-5</v>
      </c>
      <c r="W81">
        <v>1.3694999999999999E-4</v>
      </c>
      <c r="X81">
        <v>0</v>
      </c>
      <c r="Y81" s="8" t="s">
        <v>1035</v>
      </c>
      <c r="Z81" s="8" t="s">
        <v>1036</v>
      </c>
      <c r="AA81" s="8" t="s">
        <v>1037</v>
      </c>
    </row>
    <row r="82" spans="1:27" x14ac:dyDescent="0.25">
      <c r="A82">
        <v>0</v>
      </c>
      <c r="B82">
        <v>0.40500000000000003</v>
      </c>
      <c r="C82">
        <v>81</v>
      </c>
      <c r="D82">
        <v>-0.91539999999999999</v>
      </c>
      <c r="E82">
        <v>5.2600000000000001E-2</v>
      </c>
      <c r="F82">
        <v>0</v>
      </c>
      <c r="G82">
        <v>0.91694388000000004</v>
      </c>
      <c r="H82">
        <v>0.99501143000000003</v>
      </c>
      <c r="I82">
        <v>0</v>
      </c>
      <c r="J82">
        <v>3.0842000000000001</v>
      </c>
      <c r="K82" s="8" t="s">
        <v>42</v>
      </c>
      <c r="L82" s="8" t="s">
        <v>42</v>
      </c>
      <c r="M82">
        <v>0</v>
      </c>
      <c r="N82">
        <v>0</v>
      </c>
      <c r="O82">
        <v>8.3056119999999997E-2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s="8" t="s">
        <v>42</v>
      </c>
      <c r="Z82" s="8" t="s">
        <v>42</v>
      </c>
      <c r="AA82" s="8" t="s">
        <v>42</v>
      </c>
    </row>
    <row r="83" spans="1:27" x14ac:dyDescent="0.25">
      <c r="A83">
        <v>0</v>
      </c>
      <c r="B83">
        <v>0.41</v>
      </c>
      <c r="C83">
        <v>82</v>
      </c>
      <c r="D83">
        <v>-0.91539999999999999</v>
      </c>
      <c r="E83">
        <v>5.2600000000000001E-2</v>
      </c>
      <c r="F83">
        <v>0</v>
      </c>
      <c r="G83">
        <v>0.91694388000000004</v>
      </c>
      <c r="H83">
        <v>0.99501143000000003</v>
      </c>
      <c r="I83">
        <v>0</v>
      </c>
      <c r="J83">
        <v>3.0842000000000001</v>
      </c>
      <c r="K83" s="8" t="s">
        <v>42</v>
      </c>
      <c r="L83" s="8" t="s">
        <v>42</v>
      </c>
      <c r="M83">
        <v>0</v>
      </c>
      <c r="N83">
        <v>0</v>
      </c>
      <c r="O83">
        <v>8.3056119999999997E-2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8" t="s">
        <v>42</v>
      </c>
      <c r="Z83" s="8" t="s">
        <v>42</v>
      </c>
      <c r="AA83" s="8" t="s">
        <v>42</v>
      </c>
    </row>
    <row r="84" spans="1:27" x14ac:dyDescent="0.25">
      <c r="A84">
        <v>0</v>
      </c>
      <c r="B84">
        <v>0.41499999999999998</v>
      </c>
      <c r="C84">
        <v>83</v>
      </c>
      <c r="D84">
        <v>-0.91539999999999999</v>
      </c>
      <c r="E84">
        <v>5.2600000000000001E-2</v>
      </c>
      <c r="F84">
        <v>0</v>
      </c>
      <c r="G84">
        <v>0.91694388000000004</v>
      </c>
      <c r="H84">
        <v>0.99501143000000003</v>
      </c>
      <c r="I84">
        <v>0</v>
      </c>
      <c r="J84">
        <v>3.0842000000000001</v>
      </c>
      <c r="K84" s="8" t="s">
        <v>42</v>
      </c>
      <c r="L84" s="8" t="s">
        <v>42</v>
      </c>
      <c r="M84">
        <v>0</v>
      </c>
      <c r="N84">
        <v>0</v>
      </c>
      <c r="O84">
        <v>8.3056119999999997E-2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s="8" t="s">
        <v>42</v>
      </c>
      <c r="Z84" s="8" t="s">
        <v>42</v>
      </c>
      <c r="AA84" s="8" t="s">
        <v>42</v>
      </c>
    </row>
    <row r="85" spans="1:27" x14ac:dyDescent="0.25">
      <c r="A85">
        <v>0</v>
      </c>
      <c r="B85">
        <v>0.42</v>
      </c>
      <c r="C85">
        <v>84</v>
      </c>
      <c r="D85">
        <v>-0.91539999999999999</v>
      </c>
      <c r="E85">
        <v>5.2600000000000001E-2</v>
      </c>
      <c r="F85">
        <v>0</v>
      </c>
      <c r="G85">
        <v>0.91694388000000004</v>
      </c>
      <c r="H85">
        <v>0.99501143000000003</v>
      </c>
      <c r="I85">
        <v>0</v>
      </c>
      <c r="J85">
        <v>3.0842000000000001</v>
      </c>
      <c r="K85" s="8" t="s">
        <v>42</v>
      </c>
      <c r="L85" s="8" t="s">
        <v>42</v>
      </c>
      <c r="M85">
        <v>0</v>
      </c>
      <c r="N85">
        <v>0</v>
      </c>
      <c r="O85">
        <v>8.3056119999999997E-2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s="8" t="s">
        <v>42</v>
      </c>
      <c r="Z85" s="8" t="s">
        <v>42</v>
      </c>
      <c r="AA85" s="8" t="s">
        <v>42</v>
      </c>
    </row>
    <row r="86" spans="1:27" x14ac:dyDescent="0.25">
      <c r="A86">
        <v>0</v>
      </c>
      <c r="B86">
        <v>0.42499999999999999</v>
      </c>
      <c r="C86">
        <v>85</v>
      </c>
      <c r="D86">
        <v>-0.91539999999999999</v>
      </c>
      <c r="E86">
        <v>5.2600000000000001E-2</v>
      </c>
      <c r="F86">
        <v>0</v>
      </c>
      <c r="G86">
        <v>0.91694388000000004</v>
      </c>
      <c r="H86">
        <v>0.99501143000000003</v>
      </c>
      <c r="I86">
        <v>0</v>
      </c>
      <c r="J86">
        <v>3.0842000000000001</v>
      </c>
      <c r="K86" s="8" t="s">
        <v>42</v>
      </c>
      <c r="L86" s="8" t="s">
        <v>42</v>
      </c>
      <c r="M86">
        <v>0</v>
      </c>
      <c r="N86">
        <v>0</v>
      </c>
      <c r="O86">
        <v>8.3056119999999997E-2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8" t="s">
        <v>42</v>
      </c>
      <c r="Z86" s="8" t="s">
        <v>42</v>
      </c>
      <c r="AA86" s="8" t="s">
        <v>42</v>
      </c>
    </row>
    <row r="87" spans="1:27" x14ac:dyDescent="0.25">
      <c r="A87">
        <v>0</v>
      </c>
      <c r="B87">
        <v>0.43</v>
      </c>
      <c r="C87">
        <v>86</v>
      </c>
      <c r="D87">
        <v>-0.91539999999999999</v>
      </c>
      <c r="E87">
        <v>5.2600000000000001E-2</v>
      </c>
      <c r="F87">
        <v>0</v>
      </c>
      <c r="G87">
        <v>0.91694388000000004</v>
      </c>
      <c r="H87">
        <v>0.99501143000000003</v>
      </c>
      <c r="I87">
        <v>0</v>
      </c>
      <c r="J87">
        <v>3.0842000000000001</v>
      </c>
      <c r="K87" s="8" t="s">
        <v>42</v>
      </c>
      <c r="L87" s="8" t="s">
        <v>42</v>
      </c>
      <c r="M87">
        <v>0</v>
      </c>
      <c r="N87">
        <v>0</v>
      </c>
      <c r="O87">
        <v>8.3056119999999997E-2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s="8" t="s">
        <v>42</v>
      </c>
      <c r="Z87" s="8" t="s">
        <v>42</v>
      </c>
      <c r="AA87" s="8" t="s">
        <v>42</v>
      </c>
    </row>
    <row r="88" spans="1:27" x14ac:dyDescent="0.25">
      <c r="A88">
        <v>0</v>
      </c>
      <c r="B88">
        <v>0.435</v>
      </c>
      <c r="C88">
        <v>87</v>
      </c>
      <c r="D88">
        <v>-0.91539999999999999</v>
      </c>
      <c r="E88">
        <v>5.2600000000000001E-2</v>
      </c>
      <c r="F88">
        <v>0</v>
      </c>
      <c r="G88">
        <v>0.91694388000000004</v>
      </c>
      <c r="H88">
        <v>0.99501143000000003</v>
      </c>
      <c r="I88">
        <v>0</v>
      </c>
      <c r="J88">
        <v>3.0842000000000001</v>
      </c>
      <c r="K88" s="8" t="s">
        <v>42</v>
      </c>
      <c r="L88" s="8" t="s">
        <v>42</v>
      </c>
      <c r="M88">
        <v>0</v>
      </c>
      <c r="N88">
        <v>0</v>
      </c>
      <c r="O88">
        <v>8.3056119999999997E-2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8" t="s">
        <v>42</v>
      </c>
      <c r="Z88" s="8" t="s">
        <v>42</v>
      </c>
      <c r="AA88" s="8" t="s">
        <v>42</v>
      </c>
    </row>
    <row r="89" spans="1:27" x14ac:dyDescent="0.25">
      <c r="A89">
        <v>0</v>
      </c>
      <c r="B89">
        <v>0.44</v>
      </c>
      <c r="C89">
        <v>88</v>
      </c>
      <c r="D89">
        <v>-0.91539999999999999</v>
      </c>
      <c r="E89">
        <v>5.2600000000000001E-2</v>
      </c>
      <c r="F89">
        <v>0</v>
      </c>
      <c r="G89">
        <v>0.91694388000000004</v>
      </c>
      <c r="H89">
        <v>0.99501143000000003</v>
      </c>
      <c r="I89">
        <v>0</v>
      </c>
      <c r="J89">
        <v>3.0842000000000001</v>
      </c>
      <c r="K89" s="8" t="s">
        <v>42</v>
      </c>
      <c r="L89" s="8" t="s">
        <v>42</v>
      </c>
      <c r="M89">
        <v>0</v>
      </c>
      <c r="N89">
        <v>0</v>
      </c>
      <c r="O89">
        <v>8.3056119999999997E-2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 s="8" t="s">
        <v>42</v>
      </c>
      <c r="Z89" s="8" t="s">
        <v>42</v>
      </c>
      <c r="AA89" s="8" t="s">
        <v>42</v>
      </c>
    </row>
    <row r="90" spans="1:27" x14ac:dyDescent="0.25">
      <c r="A90">
        <v>0</v>
      </c>
      <c r="B90">
        <v>0.44500000000000001</v>
      </c>
      <c r="C90">
        <v>89</v>
      </c>
      <c r="D90">
        <v>-0.91539999999999999</v>
      </c>
      <c r="E90">
        <v>5.2600000000000001E-2</v>
      </c>
      <c r="F90">
        <v>0</v>
      </c>
      <c r="G90">
        <v>0.91694388000000004</v>
      </c>
      <c r="H90">
        <v>0.99501143000000003</v>
      </c>
      <c r="I90">
        <v>0</v>
      </c>
      <c r="J90">
        <v>3.0842000000000001</v>
      </c>
      <c r="K90" s="8" t="s">
        <v>42</v>
      </c>
      <c r="L90" s="8" t="s">
        <v>42</v>
      </c>
      <c r="M90">
        <v>0</v>
      </c>
      <c r="N90">
        <v>0</v>
      </c>
      <c r="O90">
        <v>8.3056119999999997E-2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8" t="s">
        <v>42</v>
      </c>
      <c r="Z90" s="8" t="s">
        <v>42</v>
      </c>
      <c r="AA90" s="8" t="s">
        <v>42</v>
      </c>
    </row>
    <row r="91" spans="1:27" x14ac:dyDescent="0.25">
      <c r="A91">
        <v>0</v>
      </c>
      <c r="B91">
        <v>0.45</v>
      </c>
      <c r="C91">
        <v>90</v>
      </c>
      <c r="D91">
        <v>-0.91539999999999999</v>
      </c>
      <c r="E91">
        <v>5.2600000000000001E-2</v>
      </c>
      <c r="F91">
        <v>0</v>
      </c>
      <c r="G91">
        <v>0.91694388000000004</v>
      </c>
      <c r="H91">
        <v>0.99501143000000003</v>
      </c>
      <c r="I91">
        <v>0</v>
      </c>
      <c r="J91">
        <v>3.0842000000000001</v>
      </c>
      <c r="K91" s="8" t="s">
        <v>42</v>
      </c>
      <c r="L91" s="8" t="s">
        <v>42</v>
      </c>
      <c r="M91">
        <v>0</v>
      </c>
      <c r="N91">
        <v>0</v>
      </c>
      <c r="O91">
        <v>8.3056119999999997E-2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 s="8" t="s">
        <v>42</v>
      </c>
      <c r="Z91" s="8" t="s">
        <v>42</v>
      </c>
      <c r="AA91" s="8" t="s">
        <v>42</v>
      </c>
    </row>
    <row r="92" spans="1:27" x14ac:dyDescent="0.25">
      <c r="A92">
        <v>0</v>
      </c>
      <c r="B92">
        <v>0.45500000000000002</v>
      </c>
      <c r="C92">
        <v>91</v>
      </c>
      <c r="D92">
        <v>-0.91539999999999999</v>
      </c>
      <c r="E92">
        <v>5.2600000000000001E-2</v>
      </c>
      <c r="F92">
        <v>0</v>
      </c>
      <c r="G92">
        <v>0.91694388000000004</v>
      </c>
      <c r="H92">
        <v>0.99501143000000003</v>
      </c>
      <c r="I92">
        <v>0</v>
      </c>
      <c r="J92">
        <v>3.0842000000000001</v>
      </c>
      <c r="K92" s="8" t="s">
        <v>42</v>
      </c>
      <c r="L92" s="8" t="s">
        <v>42</v>
      </c>
      <c r="M92">
        <v>0</v>
      </c>
      <c r="N92">
        <v>0</v>
      </c>
      <c r="O92">
        <v>8.3056119999999997E-2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s="8" t="s">
        <v>42</v>
      </c>
      <c r="Z92" s="8" t="s">
        <v>42</v>
      </c>
      <c r="AA92" s="8" t="s">
        <v>42</v>
      </c>
    </row>
    <row r="93" spans="1:27" x14ac:dyDescent="0.25">
      <c r="A93">
        <v>0</v>
      </c>
      <c r="B93">
        <v>0.46</v>
      </c>
      <c r="C93">
        <v>92</v>
      </c>
      <c r="D93">
        <v>-0.91539999999999999</v>
      </c>
      <c r="E93">
        <v>5.2600000000000001E-2</v>
      </c>
      <c r="F93">
        <v>0</v>
      </c>
      <c r="G93">
        <v>0.91694388000000004</v>
      </c>
      <c r="H93">
        <v>0.99501143000000003</v>
      </c>
      <c r="I93">
        <v>0</v>
      </c>
      <c r="J93">
        <v>3.0842000000000001</v>
      </c>
      <c r="K93" s="8" t="s">
        <v>42</v>
      </c>
      <c r="L93" s="8" t="s">
        <v>42</v>
      </c>
      <c r="M93">
        <v>0</v>
      </c>
      <c r="N93">
        <v>0</v>
      </c>
      <c r="O93">
        <v>8.3056119999999997E-2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s="8" t="s">
        <v>42</v>
      </c>
      <c r="Z93" s="8" t="s">
        <v>42</v>
      </c>
      <c r="AA93" s="8" t="s">
        <v>42</v>
      </c>
    </row>
    <row r="94" spans="1:27" x14ac:dyDescent="0.25">
      <c r="A94">
        <v>0</v>
      </c>
      <c r="B94">
        <v>0.46500000000000002</v>
      </c>
      <c r="C94">
        <v>93</v>
      </c>
      <c r="D94">
        <v>-0.91539999999999999</v>
      </c>
      <c r="E94">
        <v>5.2600000000000001E-2</v>
      </c>
      <c r="F94">
        <v>0</v>
      </c>
      <c r="G94">
        <v>0.91694388000000004</v>
      </c>
      <c r="H94">
        <v>0.99501143000000003</v>
      </c>
      <c r="I94">
        <v>0</v>
      </c>
      <c r="J94">
        <v>3.0842000000000001</v>
      </c>
      <c r="K94" s="8" t="s">
        <v>42</v>
      </c>
      <c r="L94" s="8" t="s">
        <v>42</v>
      </c>
      <c r="M94">
        <v>0</v>
      </c>
      <c r="N94">
        <v>0</v>
      </c>
      <c r="O94">
        <v>8.3056119999999997E-2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s="8" t="s">
        <v>42</v>
      </c>
      <c r="Z94" s="8" t="s">
        <v>42</v>
      </c>
      <c r="AA94" s="8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73E9-15D5-412B-9FC3-F966DEE0DDB7}">
  <dimension ref="A1:AA94"/>
  <sheetViews>
    <sheetView workbookViewId="0">
      <selection sqref="A1:AA99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4" width="7.7109375" bestFit="1" customWidth="1"/>
    <col min="5" max="5" width="7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5703125" bestFit="1" customWidth="1"/>
    <col min="12" max="12" width="11.28515625" bestFit="1" customWidth="1"/>
    <col min="13" max="14" width="9.42578125" bestFit="1" customWidth="1"/>
    <col min="15" max="15" width="11" bestFit="1" customWidth="1"/>
    <col min="16" max="16" width="11.7109375" bestFit="1" customWidth="1"/>
    <col min="17" max="17" width="11" bestFit="1" customWidth="1"/>
    <col min="18" max="18" width="11.7109375" bestFit="1" customWidth="1"/>
    <col min="19" max="19" width="8.5703125" bestFit="1" customWidth="1"/>
    <col min="20" max="20" width="8.5703125" style="1" bestFit="1" customWidth="1"/>
    <col min="21" max="21" width="7.5703125" style="1" bestFit="1" customWidth="1"/>
    <col min="22" max="23" width="11.7109375" style="1" bestFit="1" customWidth="1"/>
    <col min="24" max="24" width="14.42578125" style="1" customWidth="1"/>
    <col min="25" max="26" width="11.7109375" style="1" bestFit="1" customWidth="1"/>
    <col min="27" max="27" width="10.5703125" style="1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</v>
      </c>
      <c r="J1" t="s">
        <v>18</v>
      </c>
      <c r="K1" t="s">
        <v>37</v>
      </c>
      <c r="L1" t="s">
        <v>38</v>
      </c>
      <c r="M1" t="s">
        <v>9</v>
      </c>
      <c r="N1" t="s">
        <v>10</v>
      </c>
      <c r="O1" t="s">
        <v>8</v>
      </c>
      <c r="P1" t="s">
        <v>36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s="1" t="s">
        <v>25</v>
      </c>
      <c r="Y1" t="s">
        <v>39</v>
      </c>
      <c r="Z1" t="s">
        <v>40</v>
      </c>
      <c r="AA1" t="s">
        <v>41</v>
      </c>
    </row>
    <row r="2" spans="1:27" x14ac:dyDescent="0.25">
      <c r="A2">
        <v>1</v>
      </c>
      <c r="B2">
        <v>5.0000000000000001E-3</v>
      </c>
      <c r="C2">
        <v>1</v>
      </c>
      <c r="D2">
        <v>-1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8" t="s">
        <v>42</v>
      </c>
      <c r="L2" s="8" t="s">
        <v>42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s="1">
        <v>0</v>
      </c>
      <c r="X2" s="1">
        <v>0</v>
      </c>
      <c r="Y2" s="8" t="s">
        <v>42</v>
      </c>
      <c r="Z2" s="8" t="s">
        <v>42</v>
      </c>
      <c r="AA2" s="8" t="s">
        <v>42</v>
      </c>
    </row>
    <row r="3" spans="1:27" x14ac:dyDescent="0.25">
      <c r="A3">
        <v>1</v>
      </c>
      <c r="B3">
        <v>0.01</v>
      </c>
      <c r="C3">
        <v>2</v>
      </c>
      <c r="D3">
        <v>-1</v>
      </c>
      <c r="E3">
        <v>0</v>
      </c>
      <c r="F3">
        <v>0</v>
      </c>
      <c r="G3">
        <v>1</v>
      </c>
      <c r="H3">
        <v>0</v>
      </c>
      <c r="I3">
        <v>0</v>
      </c>
      <c r="J3">
        <v>3.1415999999999999</v>
      </c>
      <c r="K3" s="8" t="s">
        <v>42</v>
      </c>
      <c r="L3" s="8" t="s">
        <v>42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1">
        <v>0</v>
      </c>
      <c r="X3" s="1">
        <v>0</v>
      </c>
      <c r="Y3" s="8" t="s">
        <v>42</v>
      </c>
      <c r="Z3" s="8" t="s">
        <v>42</v>
      </c>
      <c r="AA3" s="8" t="s">
        <v>42</v>
      </c>
    </row>
    <row r="4" spans="1:27" x14ac:dyDescent="0.25">
      <c r="A4">
        <v>1</v>
      </c>
      <c r="B4">
        <v>1.4999999999999999E-2</v>
      </c>
      <c r="C4">
        <v>3</v>
      </c>
      <c r="D4">
        <v>-1</v>
      </c>
      <c r="E4">
        <v>0</v>
      </c>
      <c r="F4">
        <v>0</v>
      </c>
      <c r="G4">
        <v>1</v>
      </c>
      <c r="H4">
        <v>0</v>
      </c>
      <c r="I4">
        <v>0</v>
      </c>
      <c r="J4">
        <v>3.1415999999999999</v>
      </c>
      <c r="K4" s="8" t="s">
        <v>42</v>
      </c>
      <c r="L4" s="8" t="s">
        <v>42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1">
        <v>0</v>
      </c>
      <c r="X4" s="1">
        <v>0</v>
      </c>
      <c r="Y4" s="8" t="s">
        <v>42</v>
      </c>
      <c r="Z4" s="8" t="s">
        <v>42</v>
      </c>
      <c r="AA4" s="8" t="s">
        <v>42</v>
      </c>
    </row>
    <row r="5" spans="1:27" x14ac:dyDescent="0.25">
      <c r="A5">
        <v>1</v>
      </c>
      <c r="B5">
        <v>0.02</v>
      </c>
      <c r="C5">
        <v>4</v>
      </c>
      <c r="D5">
        <v>-1</v>
      </c>
      <c r="E5">
        <v>0</v>
      </c>
      <c r="F5">
        <v>0</v>
      </c>
      <c r="G5">
        <v>1</v>
      </c>
      <c r="H5">
        <v>0</v>
      </c>
      <c r="I5">
        <v>0</v>
      </c>
      <c r="J5">
        <v>3.1415999999999999</v>
      </c>
      <c r="K5" s="8" t="s">
        <v>42</v>
      </c>
      <c r="L5" s="8" t="s">
        <v>42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1">
        <v>0</v>
      </c>
      <c r="X5" s="1">
        <v>0</v>
      </c>
      <c r="Y5" s="8" t="s">
        <v>42</v>
      </c>
      <c r="Z5" s="8" t="s">
        <v>42</v>
      </c>
      <c r="AA5" s="8" t="s">
        <v>42</v>
      </c>
    </row>
    <row r="6" spans="1:27" x14ac:dyDescent="0.25">
      <c r="A6">
        <v>1</v>
      </c>
      <c r="B6">
        <v>2.5000000000000001E-2</v>
      </c>
      <c r="C6">
        <v>5</v>
      </c>
      <c r="D6">
        <v>-1</v>
      </c>
      <c r="E6">
        <v>0</v>
      </c>
      <c r="F6">
        <v>0</v>
      </c>
      <c r="G6">
        <v>1</v>
      </c>
      <c r="H6">
        <v>0</v>
      </c>
      <c r="I6">
        <v>0</v>
      </c>
      <c r="J6">
        <v>3.1415999999999999</v>
      </c>
      <c r="K6" s="8" t="s">
        <v>42</v>
      </c>
      <c r="L6" s="8" t="s">
        <v>42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1">
        <v>0</v>
      </c>
      <c r="X6" s="1">
        <v>0</v>
      </c>
      <c r="Y6" s="8" t="s">
        <v>42</v>
      </c>
      <c r="Z6" s="8" t="s">
        <v>42</v>
      </c>
      <c r="AA6" s="8" t="s">
        <v>42</v>
      </c>
    </row>
    <row r="7" spans="1:27" x14ac:dyDescent="0.25">
      <c r="A7">
        <v>1</v>
      </c>
      <c r="B7">
        <v>0.03</v>
      </c>
      <c r="C7">
        <v>6</v>
      </c>
      <c r="D7">
        <v>-1</v>
      </c>
      <c r="E7">
        <v>0</v>
      </c>
      <c r="F7">
        <v>0</v>
      </c>
      <c r="G7">
        <v>1</v>
      </c>
      <c r="H7">
        <v>0</v>
      </c>
      <c r="I7">
        <v>0</v>
      </c>
      <c r="J7">
        <v>3.1415999999999999</v>
      </c>
      <c r="K7" s="8" t="s">
        <v>42</v>
      </c>
      <c r="L7" s="8" t="s">
        <v>42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1">
        <v>0</v>
      </c>
      <c r="X7" s="1">
        <v>0</v>
      </c>
      <c r="Y7" s="8" t="s">
        <v>42</v>
      </c>
      <c r="Z7" s="8" t="s">
        <v>42</v>
      </c>
      <c r="AA7" s="8" t="s">
        <v>42</v>
      </c>
    </row>
    <row r="8" spans="1:27" x14ac:dyDescent="0.25">
      <c r="A8">
        <v>1</v>
      </c>
      <c r="B8">
        <v>3.5000000000000003E-2</v>
      </c>
      <c r="C8">
        <v>7</v>
      </c>
      <c r="D8">
        <v>-1</v>
      </c>
      <c r="E8">
        <v>0</v>
      </c>
      <c r="F8">
        <v>0</v>
      </c>
      <c r="G8">
        <v>1</v>
      </c>
      <c r="H8">
        <v>0</v>
      </c>
      <c r="I8">
        <v>0</v>
      </c>
      <c r="J8">
        <v>3.1415999999999999</v>
      </c>
      <c r="K8" s="8" t="s">
        <v>42</v>
      </c>
      <c r="L8" s="8" t="s">
        <v>42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">
        <v>0</v>
      </c>
      <c r="X8" s="1">
        <v>0</v>
      </c>
      <c r="Y8" s="8" t="s">
        <v>42</v>
      </c>
      <c r="Z8" s="8" t="s">
        <v>42</v>
      </c>
      <c r="AA8" s="8" t="s">
        <v>42</v>
      </c>
    </row>
    <row r="9" spans="1:27" x14ac:dyDescent="0.25">
      <c r="A9">
        <v>1</v>
      </c>
      <c r="B9">
        <v>0.04</v>
      </c>
      <c r="C9">
        <v>8</v>
      </c>
      <c r="D9">
        <v>-1</v>
      </c>
      <c r="E9">
        <v>0</v>
      </c>
      <c r="F9">
        <v>0</v>
      </c>
      <c r="G9">
        <v>1</v>
      </c>
      <c r="H9">
        <v>0</v>
      </c>
      <c r="I9">
        <v>0</v>
      </c>
      <c r="J9">
        <v>3.1415999999999999</v>
      </c>
      <c r="K9" s="8" t="s">
        <v>42</v>
      </c>
      <c r="L9" s="8" t="s">
        <v>42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">
        <v>0</v>
      </c>
      <c r="X9" s="1">
        <v>0</v>
      </c>
      <c r="Y9" s="8" t="s">
        <v>42</v>
      </c>
      <c r="Z9" s="8" t="s">
        <v>42</v>
      </c>
      <c r="AA9" s="8" t="s">
        <v>42</v>
      </c>
    </row>
    <row r="10" spans="1:27" x14ac:dyDescent="0.25">
      <c r="A10">
        <v>1</v>
      </c>
      <c r="B10">
        <v>4.4999999999999998E-2</v>
      </c>
      <c r="C10">
        <v>9</v>
      </c>
      <c r="D10">
        <v>-1</v>
      </c>
      <c r="E10">
        <v>0</v>
      </c>
      <c r="F10">
        <v>0</v>
      </c>
      <c r="G10">
        <v>1</v>
      </c>
      <c r="H10">
        <v>0</v>
      </c>
      <c r="I10">
        <v>0</v>
      </c>
      <c r="J10">
        <v>3.1415999999999999</v>
      </c>
      <c r="K10" s="8" t="s">
        <v>42</v>
      </c>
      <c r="L10" s="8" t="s">
        <v>42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1">
        <v>0</v>
      </c>
      <c r="X10" s="1">
        <v>0</v>
      </c>
      <c r="Y10" s="8" t="s">
        <v>42</v>
      </c>
      <c r="Z10" s="8" t="s">
        <v>42</v>
      </c>
      <c r="AA10" s="8" t="s">
        <v>42</v>
      </c>
    </row>
    <row r="11" spans="1:27" x14ac:dyDescent="0.25">
      <c r="A11">
        <v>1</v>
      </c>
      <c r="B11">
        <v>0.05</v>
      </c>
      <c r="C11">
        <v>10</v>
      </c>
      <c r="D11">
        <v>-1</v>
      </c>
      <c r="E11">
        <v>0</v>
      </c>
      <c r="F11">
        <v>0</v>
      </c>
      <c r="G11">
        <v>1</v>
      </c>
      <c r="H11">
        <v>0</v>
      </c>
      <c r="I11">
        <v>0</v>
      </c>
      <c r="J11">
        <v>3.1415999999999999</v>
      </c>
      <c r="K11" s="8" t="s">
        <v>42</v>
      </c>
      <c r="L11" s="8" t="s">
        <v>42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">
        <v>0</v>
      </c>
      <c r="X11" s="1">
        <v>0</v>
      </c>
      <c r="Y11" s="8" t="s">
        <v>42</v>
      </c>
      <c r="Z11" s="8" t="s">
        <v>42</v>
      </c>
      <c r="AA11" s="8" t="s">
        <v>42</v>
      </c>
    </row>
    <row r="12" spans="1:27" x14ac:dyDescent="0.25">
      <c r="A12">
        <v>1</v>
      </c>
      <c r="B12">
        <v>5.5E-2</v>
      </c>
      <c r="C12">
        <v>11</v>
      </c>
      <c r="D12">
        <v>-1</v>
      </c>
      <c r="E12">
        <v>0</v>
      </c>
      <c r="F12">
        <v>0</v>
      </c>
      <c r="G12">
        <v>1</v>
      </c>
      <c r="H12">
        <v>0</v>
      </c>
      <c r="I12">
        <v>0</v>
      </c>
      <c r="J12">
        <v>3.1415999999999999</v>
      </c>
      <c r="K12" s="8" t="s">
        <v>42</v>
      </c>
      <c r="L12" s="8" t="s">
        <v>42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s="1">
        <v>0</v>
      </c>
      <c r="X12" s="1">
        <v>0</v>
      </c>
      <c r="Y12" s="8" t="s">
        <v>42</v>
      </c>
      <c r="Z12" s="8" t="s">
        <v>42</v>
      </c>
      <c r="AA12" s="8" t="s">
        <v>42</v>
      </c>
    </row>
    <row r="13" spans="1:27" x14ac:dyDescent="0.25">
      <c r="A13">
        <v>1</v>
      </c>
      <c r="B13">
        <v>0.06</v>
      </c>
      <c r="C13">
        <v>12</v>
      </c>
      <c r="D13">
        <v>-1</v>
      </c>
      <c r="E13">
        <v>0</v>
      </c>
      <c r="F13">
        <v>0</v>
      </c>
      <c r="G13">
        <v>1</v>
      </c>
      <c r="H13">
        <v>0</v>
      </c>
      <c r="I13">
        <v>0</v>
      </c>
      <c r="J13">
        <v>3.1415999999999999</v>
      </c>
      <c r="K13" s="8" t="s">
        <v>42</v>
      </c>
      <c r="L13" s="8" t="s">
        <v>42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">
        <v>0</v>
      </c>
      <c r="X13" s="1">
        <v>0</v>
      </c>
      <c r="Y13" s="8" t="s">
        <v>42</v>
      </c>
      <c r="Z13" s="8" t="s">
        <v>42</v>
      </c>
      <c r="AA13" s="8" t="s">
        <v>42</v>
      </c>
    </row>
    <row r="14" spans="1:27" x14ac:dyDescent="0.25">
      <c r="A14">
        <v>1</v>
      </c>
      <c r="B14">
        <v>6.5000000000000002E-2</v>
      </c>
      <c r="C14">
        <v>13</v>
      </c>
      <c r="D14">
        <v>-1</v>
      </c>
      <c r="E14">
        <v>0</v>
      </c>
      <c r="F14">
        <v>4.5154E-4</v>
      </c>
      <c r="G14">
        <v>1</v>
      </c>
      <c r="H14">
        <v>1</v>
      </c>
      <c r="I14">
        <v>0</v>
      </c>
      <c r="J14">
        <v>3.1415999999999999</v>
      </c>
      <c r="K14" s="8" t="s">
        <v>42</v>
      </c>
      <c r="L14" s="8" t="s">
        <v>42</v>
      </c>
      <c r="M14">
        <v>0</v>
      </c>
      <c r="N14">
        <v>0</v>
      </c>
      <c r="O14">
        <v>0</v>
      </c>
      <c r="P14">
        <v>-8.8659999999999995E-5</v>
      </c>
      <c r="Q14">
        <v>8.8659999999999995E-5</v>
      </c>
      <c r="R14">
        <v>-8.8659999999999995E-5</v>
      </c>
      <c r="S14">
        <v>-2</v>
      </c>
      <c r="T14">
        <v>0</v>
      </c>
      <c r="U14">
        <v>2</v>
      </c>
      <c r="V14">
        <v>7.6650000000000006E-5</v>
      </c>
      <c r="W14" s="1">
        <v>4.456E-5</v>
      </c>
      <c r="X14" s="1">
        <v>0</v>
      </c>
      <c r="Y14" s="8" t="s">
        <v>478</v>
      </c>
      <c r="Z14" s="8" t="s">
        <v>42</v>
      </c>
      <c r="AA14" s="8" t="s">
        <v>42</v>
      </c>
    </row>
    <row r="15" spans="1:27" x14ac:dyDescent="0.25">
      <c r="A15">
        <v>1</v>
      </c>
      <c r="B15">
        <v>7.0000000000000007E-2</v>
      </c>
      <c r="C15">
        <v>14</v>
      </c>
      <c r="D15">
        <v>-0.99990000000000001</v>
      </c>
      <c r="E15">
        <v>0</v>
      </c>
      <c r="F15">
        <v>4.0243700000000002E-3</v>
      </c>
      <c r="G15">
        <v>0.99992334999999999</v>
      </c>
      <c r="H15">
        <v>1</v>
      </c>
      <c r="I15">
        <v>0</v>
      </c>
      <c r="J15">
        <v>3.1415000000000002</v>
      </c>
      <c r="K15" s="8" t="s">
        <v>479</v>
      </c>
      <c r="L15" s="8" t="s">
        <v>42</v>
      </c>
      <c r="M15">
        <v>0</v>
      </c>
      <c r="N15">
        <v>0</v>
      </c>
      <c r="O15">
        <v>7.6650000000000006E-5</v>
      </c>
      <c r="P15">
        <v>-7.9018000000000003E-4</v>
      </c>
      <c r="Q15">
        <v>7.9018000000000003E-4</v>
      </c>
      <c r="R15">
        <v>-7.0151999999999996E-4</v>
      </c>
      <c r="S15">
        <v>-2</v>
      </c>
      <c r="T15">
        <v>0</v>
      </c>
      <c r="U15">
        <v>2</v>
      </c>
      <c r="V15">
        <v>6.7900000000000002E-4</v>
      </c>
      <c r="W15" s="1">
        <v>4.0416999999999997E-4</v>
      </c>
      <c r="X15" s="1">
        <v>0</v>
      </c>
      <c r="Y15" s="8" t="s">
        <v>480</v>
      </c>
      <c r="Z15" s="8" t="s">
        <v>481</v>
      </c>
      <c r="AA15" s="8" t="s">
        <v>45</v>
      </c>
    </row>
    <row r="16" spans="1:27" x14ac:dyDescent="0.25">
      <c r="A16">
        <v>1</v>
      </c>
      <c r="B16">
        <v>7.4999999999999997E-2</v>
      </c>
      <c r="C16">
        <v>15</v>
      </c>
      <c r="D16">
        <v>-0.99919999999999998</v>
      </c>
      <c r="E16">
        <v>4.0000000000000002E-4</v>
      </c>
      <c r="F16">
        <v>9.3905499999999992E-3</v>
      </c>
      <c r="G16">
        <v>0.99924444999999995</v>
      </c>
      <c r="H16">
        <v>1</v>
      </c>
      <c r="I16">
        <v>0</v>
      </c>
      <c r="J16">
        <v>3.1410999999999998</v>
      </c>
      <c r="K16" s="8" t="s">
        <v>482</v>
      </c>
      <c r="L16" s="8" t="s">
        <v>48</v>
      </c>
      <c r="M16">
        <v>0</v>
      </c>
      <c r="N16">
        <v>0</v>
      </c>
      <c r="O16">
        <v>7.5555000000000001E-4</v>
      </c>
      <c r="P16">
        <v>-1.8438300000000001E-3</v>
      </c>
      <c r="Q16">
        <v>1.8438300000000001E-3</v>
      </c>
      <c r="R16">
        <v>-1.0536499999999999E-3</v>
      </c>
      <c r="S16">
        <v>-2</v>
      </c>
      <c r="T16">
        <v>0</v>
      </c>
      <c r="U16">
        <v>2</v>
      </c>
      <c r="V16">
        <v>1.5742600000000001E-3</v>
      </c>
      <c r="W16" s="1">
        <v>9.5991000000000002E-4</v>
      </c>
      <c r="X16" s="1">
        <v>0</v>
      </c>
      <c r="Y16" s="8" t="s">
        <v>483</v>
      </c>
      <c r="Z16" s="8" t="s">
        <v>484</v>
      </c>
      <c r="AA16" s="8" t="s">
        <v>51</v>
      </c>
    </row>
    <row r="17" spans="1:27" x14ac:dyDescent="0.25">
      <c r="A17">
        <v>1</v>
      </c>
      <c r="B17">
        <v>0.08</v>
      </c>
      <c r="C17">
        <v>16</v>
      </c>
      <c r="D17">
        <v>-0.99770000000000003</v>
      </c>
      <c r="E17">
        <v>1.4E-3</v>
      </c>
      <c r="F17">
        <v>1.5996070000000001E-2</v>
      </c>
      <c r="G17">
        <v>0.99767108999999998</v>
      </c>
      <c r="H17">
        <v>1</v>
      </c>
      <c r="I17">
        <v>0</v>
      </c>
      <c r="J17">
        <v>3.1402000000000001</v>
      </c>
      <c r="K17" s="8" t="s">
        <v>485</v>
      </c>
      <c r="L17" s="8" t="s">
        <v>53</v>
      </c>
      <c r="M17">
        <v>0</v>
      </c>
      <c r="N17">
        <v>0</v>
      </c>
      <c r="O17">
        <v>2.32891E-3</v>
      </c>
      <c r="P17">
        <v>-3.1408199999999999E-3</v>
      </c>
      <c r="Q17">
        <v>3.1408199999999999E-3</v>
      </c>
      <c r="R17">
        <v>-1.29699E-3</v>
      </c>
      <c r="S17">
        <v>-2</v>
      </c>
      <c r="T17">
        <v>0</v>
      </c>
      <c r="U17">
        <v>2</v>
      </c>
      <c r="V17">
        <v>2.6634100000000002E-3</v>
      </c>
      <c r="W17" s="1">
        <v>1.6646300000000001E-3</v>
      </c>
      <c r="X17" s="1">
        <v>0</v>
      </c>
      <c r="Y17" s="8" t="s">
        <v>486</v>
      </c>
      <c r="Z17" s="8" t="s">
        <v>487</v>
      </c>
      <c r="AA17" s="8" t="s">
        <v>56</v>
      </c>
    </row>
    <row r="18" spans="1:27" x14ac:dyDescent="0.25">
      <c r="A18">
        <v>1</v>
      </c>
      <c r="B18">
        <v>8.5000000000000006E-2</v>
      </c>
      <c r="C18">
        <v>17</v>
      </c>
      <c r="D18">
        <v>-0.995</v>
      </c>
      <c r="E18">
        <v>3.0999999999999999E-3</v>
      </c>
      <c r="F18">
        <v>2.3563850000000001E-2</v>
      </c>
      <c r="G18">
        <v>0.99501143000000003</v>
      </c>
      <c r="H18">
        <v>1</v>
      </c>
      <c r="I18">
        <v>0</v>
      </c>
      <c r="J18">
        <v>3.1385000000000001</v>
      </c>
      <c r="K18" s="8" t="s">
        <v>488</v>
      </c>
      <c r="L18" s="8" t="s">
        <v>58</v>
      </c>
      <c r="M18">
        <v>0</v>
      </c>
      <c r="N18">
        <v>0</v>
      </c>
      <c r="O18">
        <v>4.9885700000000003E-3</v>
      </c>
      <c r="P18">
        <v>-4.6267499999999998E-3</v>
      </c>
      <c r="Q18">
        <v>4.6267499999999998E-3</v>
      </c>
      <c r="R18">
        <v>-1.4859300000000001E-3</v>
      </c>
      <c r="S18">
        <v>-2</v>
      </c>
      <c r="T18">
        <v>0</v>
      </c>
      <c r="U18">
        <v>2</v>
      </c>
      <c r="V18">
        <v>3.8951799999999998E-3</v>
      </c>
      <c r="W18" s="1">
        <v>2.4968799999999999E-3</v>
      </c>
      <c r="X18" s="1">
        <v>0</v>
      </c>
      <c r="Y18" s="8" t="s">
        <v>489</v>
      </c>
      <c r="Z18" s="8" t="s">
        <v>490</v>
      </c>
      <c r="AA18" s="8" t="s">
        <v>61</v>
      </c>
    </row>
    <row r="19" spans="1:27" x14ac:dyDescent="0.25">
      <c r="A19">
        <v>1</v>
      </c>
      <c r="B19">
        <v>0.09</v>
      </c>
      <c r="C19">
        <v>18</v>
      </c>
      <c r="D19">
        <v>-0.99109999999999998</v>
      </c>
      <c r="E19">
        <v>5.5999999999999999E-3</v>
      </c>
      <c r="F19">
        <v>3.1886989999999997E-2</v>
      </c>
      <c r="G19">
        <v>0.99112716000000001</v>
      </c>
      <c r="H19">
        <v>1</v>
      </c>
      <c r="I19">
        <v>0</v>
      </c>
      <c r="J19">
        <v>3.1360000000000001</v>
      </c>
      <c r="K19" s="8" t="s">
        <v>491</v>
      </c>
      <c r="L19" s="8" t="s">
        <v>63</v>
      </c>
      <c r="M19">
        <v>0</v>
      </c>
      <c r="N19">
        <v>0</v>
      </c>
      <c r="O19">
        <v>8.8728399999999999E-3</v>
      </c>
      <c r="P19">
        <v>-6.2610000000000001E-3</v>
      </c>
      <c r="Q19">
        <v>6.2610000000000001E-3</v>
      </c>
      <c r="R19">
        <v>-1.6342500000000001E-3</v>
      </c>
      <c r="S19">
        <v>-2</v>
      </c>
      <c r="T19">
        <v>0</v>
      </c>
      <c r="U19">
        <v>2</v>
      </c>
      <c r="V19">
        <v>5.2306000000000002E-3</v>
      </c>
      <c r="W19" s="1">
        <v>3.4410600000000001E-3</v>
      </c>
      <c r="X19" s="1">
        <v>0</v>
      </c>
      <c r="Y19" s="8" t="s">
        <v>492</v>
      </c>
      <c r="Z19" s="8" t="s">
        <v>493</v>
      </c>
      <c r="AA19" s="8" t="s">
        <v>494</v>
      </c>
    </row>
    <row r="20" spans="1:27" x14ac:dyDescent="0.25">
      <c r="A20">
        <v>1</v>
      </c>
      <c r="B20">
        <v>9.5000000000000001E-2</v>
      </c>
      <c r="C20">
        <v>19</v>
      </c>
      <c r="D20">
        <v>-0.9859</v>
      </c>
      <c r="E20">
        <v>8.9999999999999993E-3</v>
      </c>
      <c r="F20">
        <v>4.0815230000000001E-2</v>
      </c>
      <c r="G20">
        <v>0.98592208999999997</v>
      </c>
      <c r="H20">
        <v>1</v>
      </c>
      <c r="I20">
        <v>0</v>
      </c>
      <c r="J20">
        <v>3.1324999999999998</v>
      </c>
      <c r="K20" s="8" t="s">
        <v>495</v>
      </c>
      <c r="L20" s="8" t="s">
        <v>68</v>
      </c>
      <c r="M20">
        <v>0</v>
      </c>
      <c r="N20">
        <v>0</v>
      </c>
      <c r="O20">
        <v>1.4077910000000001E-2</v>
      </c>
      <c r="P20">
        <v>-8.01405E-3</v>
      </c>
      <c r="Q20">
        <v>8.01405E-3</v>
      </c>
      <c r="R20">
        <v>-1.7530600000000001E-3</v>
      </c>
      <c r="S20">
        <v>-2</v>
      </c>
      <c r="T20">
        <v>0</v>
      </c>
      <c r="U20">
        <v>2</v>
      </c>
      <c r="V20">
        <v>6.6405800000000001E-3</v>
      </c>
      <c r="W20" s="1">
        <v>4.4863999999999998E-3</v>
      </c>
      <c r="X20" s="1">
        <v>0</v>
      </c>
      <c r="Y20" s="8" t="s">
        <v>496</v>
      </c>
      <c r="Z20" s="8" t="s">
        <v>497</v>
      </c>
      <c r="AA20" s="8" t="s">
        <v>498</v>
      </c>
    </row>
    <row r="21" spans="1:27" x14ac:dyDescent="0.25">
      <c r="A21">
        <v>1</v>
      </c>
      <c r="B21">
        <v>0.1</v>
      </c>
      <c r="C21">
        <v>20</v>
      </c>
      <c r="D21">
        <v>-0.97919999999999996</v>
      </c>
      <c r="E21">
        <v>1.35E-2</v>
      </c>
      <c r="F21">
        <v>5.0211560000000002E-2</v>
      </c>
      <c r="G21">
        <v>0.97933334999999999</v>
      </c>
      <c r="H21">
        <v>1</v>
      </c>
      <c r="I21">
        <v>0</v>
      </c>
      <c r="J21">
        <v>3.1278000000000001</v>
      </c>
      <c r="K21" s="8" t="s">
        <v>499</v>
      </c>
      <c r="L21" s="8" t="s">
        <v>73</v>
      </c>
      <c r="M21">
        <v>0</v>
      </c>
      <c r="N21">
        <v>0</v>
      </c>
      <c r="O21">
        <v>2.0666650000000002E-2</v>
      </c>
      <c r="P21">
        <v>-9.8590199999999996E-3</v>
      </c>
      <c r="Q21">
        <v>9.8590199999999996E-3</v>
      </c>
      <c r="R21">
        <v>-1.8449600000000001E-3</v>
      </c>
      <c r="S21">
        <v>-2</v>
      </c>
      <c r="T21">
        <v>0</v>
      </c>
      <c r="U21">
        <v>2</v>
      </c>
      <c r="V21">
        <v>8.0985999999999992E-3</v>
      </c>
      <c r="W21" s="1">
        <v>5.6225299999999997E-3</v>
      </c>
      <c r="X21" s="1">
        <v>0</v>
      </c>
      <c r="Y21" s="8" t="s">
        <v>500</v>
      </c>
      <c r="Z21" s="8" t="s">
        <v>501</v>
      </c>
      <c r="AA21" s="8" t="s">
        <v>502</v>
      </c>
    </row>
    <row r="22" spans="1:27" x14ac:dyDescent="0.25">
      <c r="A22">
        <v>1</v>
      </c>
      <c r="B22">
        <v>0.105</v>
      </c>
      <c r="C22">
        <v>21</v>
      </c>
      <c r="D22">
        <v>-0.97109999999999996</v>
      </c>
      <c r="E22">
        <v>1.9099999999999999E-2</v>
      </c>
      <c r="F22">
        <v>5.995052E-2</v>
      </c>
      <c r="G22">
        <v>0.97132993999999995</v>
      </c>
      <c r="H22">
        <v>1</v>
      </c>
      <c r="I22">
        <v>0</v>
      </c>
      <c r="J22">
        <v>3.1219000000000001</v>
      </c>
      <c r="K22" s="8" t="s">
        <v>503</v>
      </c>
      <c r="L22" s="8" t="s">
        <v>78</v>
      </c>
      <c r="M22">
        <v>0</v>
      </c>
      <c r="N22">
        <v>0</v>
      </c>
      <c r="O22">
        <v>2.8670060000000001E-2</v>
      </c>
      <c r="P22">
        <v>-1.177126E-2</v>
      </c>
      <c r="Q22">
        <v>1.177126E-2</v>
      </c>
      <c r="R22">
        <v>-1.9122399999999999E-3</v>
      </c>
      <c r="S22">
        <v>-2</v>
      </c>
      <c r="T22">
        <v>0</v>
      </c>
      <c r="U22">
        <v>2</v>
      </c>
      <c r="V22">
        <v>9.5805100000000004E-3</v>
      </c>
      <c r="W22" s="1">
        <v>6.8393200000000003E-3</v>
      </c>
      <c r="X22" s="1">
        <v>0</v>
      </c>
      <c r="Y22" s="8" t="s">
        <v>504</v>
      </c>
      <c r="Z22" s="8" t="s">
        <v>505</v>
      </c>
      <c r="AA22" s="8" t="s">
        <v>506</v>
      </c>
    </row>
    <row r="23" spans="1:27" x14ac:dyDescent="0.25">
      <c r="A23">
        <v>1</v>
      </c>
      <c r="B23">
        <v>0.11</v>
      </c>
      <c r="C23">
        <v>22</v>
      </c>
      <c r="D23">
        <v>-0.96160000000000001</v>
      </c>
      <c r="E23">
        <v>2.5999999999999999E-2</v>
      </c>
      <c r="F23">
        <v>6.9914219999999999E-2</v>
      </c>
      <c r="G23">
        <v>0.96191157000000005</v>
      </c>
      <c r="H23">
        <v>1</v>
      </c>
      <c r="I23">
        <v>0</v>
      </c>
      <c r="J23">
        <v>3.1145999999999998</v>
      </c>
      <c r="K23" s="8" t="s">
        <v>507</v>
      </c>
      <c r="L23" s="8" t="s">
        <v>83</v>
      </c>
      <c r="M23">
        <v>0</v>
      </c>
      <c r="N23">
        <v>0</v>
      </c>
      <c r="O23">
        <v>3.808843E-2</v>
      </c>
      <c r="P23">
        <v>-1.3727619999999999E-2</v>
      </c>
      <c r="Q23">
        <v>1.3727619999999999E-2</v>
      </c>
      <c r="R23">
        <v>-1.9563699999999998E-3</v>
      </c>
      <c r="S23">
        <v>-2</v>
      </c>
      <c r="T23">
        <v>0</v>
      </c>
      <c r="U23">
        <v>2</v>
      </c>
      <c r="V23">
        <v>1.106389E-2</v>
      </c>
      <c r="W23" s="1">
        <v>8.1263800000000008E-3</v>
      </c>
      <c r="X23" s="1">
        <v>0</v>
      </c>
      <c r="Y23" s="8" t="s">
        <v>508</v>
      </c>
      <c r="Z23" s="8" t="s">
        <v>509</v>
      </c>
      <c r="AA23" s="8" t="s">
        <v>510</v>
      </c>
    </row>
    <row r="24" spans="1:27" x14ac:dyDescent="0.25">
      <c r="A24">
        <v>1</v>
      </c>
      <c r="B24">
        <v>0.115</v>
      </c>
      <c r="C24">
        <v>23</v>
      </c>
      <c r="D24">
        <v>-0.95050000000000001</v>
      </c>
      <c r="E24">
        <v>3.4099999999999998E-2</v>
      </c>
      <c r="F24">
        <v>7.9990389999999995E-2</v>
      </c>
      <c r="G24">
        <v>0.95110830999999996</v>
      </c>
      <c r="H24">
        <v>1</v>
      </c>
      <c r="I24">
        <v>0</v>
      </c>
      <c r="J24">
        <v>3.1057000000000001</v>
      </c>
      <c r="K24" s="8" t="s">
        <v>511</v>
      </c>
      <c r="L24" s="8" t="s">
        <v>88</v>
      </c>
      <c r="M24">
        <v>0</v>
      </c>
      <c r="N24">
        <v>0</v>
      </c>
      <c r="O24">
        <v>4.8891690000000002E-2</v>
      </c>
      <c r="P24">
        <v>-1.5706080000000001E-2</v>
      </c>
      <c r="Q24">
        <v>1.5706080000000001E-2</v>
      </c>
      <c r="R24">
        <v>-1.9784500000000001E-3</v>
      </c>
      <c r="S24">
        <v>-2</v>
      </c>
      <c r="T24">
        <v>0</v>
      </c>
      <c r="U24">
        <v>2</v>
      </c>
      <c r="V24">
        <v>1.252783E-2</v>
      </c>
      <c r="W24" s="1">
        <v>9.4728199999999999E-3</v>
      </c>
      <c r="X24" s="1">
        <v>0</v>
      </c>
      <c r="Y24" s="8" t="s">
        <v>512</v>
      </c>
      <c r="Z24" s="8" t="s">
        <v>513</v>
      </c>
      <c r="AA24" s="8" t="s">
        <v>514</v>
      </c>
    </row>
    <row r="25" spans="1:27" x14ac:dyDescent="0.25">
      <c r="A25">
        <v>1</v>
      </c>
      <c r="B25">
        <v>0.12</v>
      </c>
      <c r="C25">
        <v>24</v>
      </c>
      <c r="D25">
        <v>-0.93799999999999994</v>
      </c>
      <c r="E25">
        <v>4.36E-2</v>
      </c>
      <c r="F25">
        <v>9.0071590000000007E-2</v>
      </c>
      <c r="G25">
        <v>0.93898037000000001</v>
      </c>
      <c r="H25">
        <v>1</v>
      </c>
      <c r="I25">
        <v>0</v>
      </c>
      <c r="J25">
        <v>3.0952000000000002</v>
      </c>
      <c r="K25" s="8" t="s">
        <v>515</v>
      </c>
      <c r="L25" s="8" t="s">
        <v>93</v>
      </c>
      <c r="M25">
        <v>0</v>
      </c>
      <c r="N25">
        <v>0</v>
      </c>
      <c r="O25">
        <v>6.1019629999999998E-2</v>
      </c>
      <c r="P25">
        <v>-1.768552E-2</v>
      </c>
      <c r="Q25">
        <v>1.768552E-2</v>
      </c>
      <c r="R25">
        <v>-1.9794399999999998E-3</v>
      </c>
      <c r="S25">
        <v>-2</v>
      </c>
      <c r="T25">
        <v>0</v>
      </c>
      <c r="U25">
        <v>2</v>
      </c>
      <c r="V25">
        <v>1.3952869999999999E-2</v>
      </c>
      <c r="W25" s="1">
        <v>1.0867140000000001E-2</v>
      </c>
      <c r="X25" s="1">
        <v>0</v>
      </c>
      <c r="Y25" s="8" t="s">
        <v>516</v>
      </c>
      <c r="Z25" s="8" t="s">
        <v>517</v>
      </c>
      <c r="AA25" s="8" t="s">
        <v>518</v>
      </c>
    </row>
    <row r="26" spans="1:27" x14ac:dyDescent="0.25">
      <c r="A26">
        <v>1</v>
      </c>
      <c r="B26">
        <v>0.125</v>
      </c>
      <c r="C26">
        <v>25</v>
      </c>
      <c r="D26">
        <v>-0.92400000000000004</v>
      </c>
      <c r="E26">
        <v>5.4399999999999997E-2</v>
      </c>
      <c r="F26">
        <v>0.10005505000000001</v>
      </c>
      <c r="G26">
        <v>0.92561811999999999</v>
      </c>
      <c r="H26">
        <v>1</v>
      </c>
      <c r="I26">
        <v>0</v>
      </c>
      <c r="J26">
        <v>3.0828000000000002</v>
      </c>
      <c r="K26" s="8" t="s">
        <v>519</v>
      </c>
      <c r="L26" s="8" t="s">
        <v>98</v>
      </c>
      <c r="M26">
        <v>0</v>
      </c>
      <c r="N26">
        <v>0</v>
      </c>
      <c r="O26">
        <v>7.4381879999999997E-2</v>
      </c>
      <c r="P26">
        <v>-1.9645760000000002E-2</v>
      </c>
      <c r="Q26">
        <v>1.9645760000000002E-2</v>
      </c>
      <c r="R26">
        <v>-1.9602500000000002E-3</v>
      </c>
      <c r="S26">
        <v>-2</v>
      </c>
      <c r="T26">
        <v>0</v>
      </c>
      <c r="U26">
        <v>2</v>
      </c>
      <c r="V26">
        <v>1.5321130000000001E-2</v>
      </c>
      <c r="W26" s="1">
        <v>1.229711E-2</v>
      </c>
      <c r="X26" s="1">
        <v>0</v>
      </c>
      <c r="Y26" s="8" t="s">
        <v>520</v>
      </c>
      <c r="Z26" s="8" t="s">
        <v>521</v>
      </c>
      <c r="AA26" s="8" t="s">
        <v>522</v>
      </c>
    </row>
    <row r="27" spans="1:27" x14ac:dyDescent="0.25">
      <c r="A27">
        <v>1</v>
      </c>
      <c r="B27">
        <v>0.13</v>
      </c>
      <c r="C27">
        <v>26</v>
      </c>
      <c r="D27">
        <v>-0.90869999999999995</v>
      </c>
      <c r="E27">
        <v>6.6699999999999995E-2</v>
      </c>
      <c r="F27">
        <v>0.10984296</v>
      </c>
      <c r="G27">
        <v>0.91114183999999998</v>
      </c>
      <c r="H27">
        <v>1</v>
      </c>
      <c r="I27">
        <v>0</v>
      </c>
      <c r="J27">
        <v>3.0682999999999998</v>
      </c>
      <c r="K27" s="8" t="s">
        <v>523</v>
      </c>
      <c r="L27" s="8" t="s">
        <v>103</v>
      </c>
      <c r="M27">
        <v>0</v>
      </c>
      <c r="N27">
        <v>0</v>
      </c>
      <c r="O27">
        <v>8.8858160000000005E-2</v>
      </c>
      <c r="P27">
        <v>-2.1567619999999999E-2</v>
      </c>
      <c r="Q27">
        <v>2.1567619999999999E-2</v>
      </c>
      <c r="R27">
        <v>-1.9218499999999999E-3</v>
      </c>
      <c r="S27">
        <v>-2</v>
      </c>
      <c r="T27">
        <v>0</v>
      </c>
      <c r="U27">
        <v>2</v>
      </c>
      <c r="V27">
        <v>1.661636E-2</v>
      </c>
      <c r="W27" s="1">
        <v>1.3749859999999999E-2</v>
      </c>
      <c r="X27" s="1">
        <v>0</v>
      </c>
      <c r="Y27" s="8" t="s">
        <v>524</v>
      </c>
      <c r="Z27" s="8" t="s">
        <v>525</v>
      </c>
      <c r="AA27" s="8" t="s">
        <v>526</v>
      </c>
    </row>
    <row r="28" spans="1:27" x14ac:dyDescent="0.25">
      <c r="A28">
        <v>1</v>
      </c>
      <c r="B28">
        <v>0.13500000000000001</v>
      </c>
      <c r="C28">
        <v>27</v>
      </c>
      <c r="D28">
        <v>-0.8921</v>
      </c>
      <c r="E28">
        <v>8.0500000000000002E-2</v>
      </c>
      <c r="F28">
        <v>0.11934297000000001</v>
      </c>
      <c r="G28">
        <v>0.89570143999999996</v>
      </c>
      <c r="H28">
        <v>1</v>
      </c>
      <c r="I28">
        <v>0</v>
      </c>
      <c r="J28">
        <v>3.0516000000000001</v>
      </c>
      <c r="K28" s="8" t="s">
        <v>527</v>
      </c>
      <c r="L28" s="8" t="s">
        <v>108</v>
      </c>
      <c r="M28">
        <v>0</v>
      </c>
      <c r="N28">
        <v>0</v>
      </c>
      <c r="O28">
        <v>0.10429856</v>
      </c>
      <c r="P28">
        <v>-2.3432939999999999E-2</v>
      </c>
      <c r="Q28">
        <v>2.3432939999999999E-2</v>
      </c>
      <c r="R28">
        <v>-1.86532E-3</v>
      </c>
      <c r="S28">
        <v>-2</v>
      </c>
      <c r="T28">
        <v>0</v>
      </c>
      <c r="U28">
        <v>2</v>
      </c>
      <c r="V28">
        <v>1.7824139999999999E-2</v>
      </c>
      <c r="W28" s="1">
        <v>1.521192E-2</v>
      </c>
      <c r="X28" s="1">
        <v>0</v>
      </c>
      <c r="Y28" s="8" t="s">
        <v>528</v>
      </c>
      <c r="Z28" s="8" t="s">
        <v>529</v>
      </c>
      <c r="AA28" s="8" t="s">
        <v>530</v>
      </c>
    </row>
    <row r="29" spans="1:27" x14ac:dyDescent="0.25">
      <c r="A29">
        <v>1</v>
      </c>
      <c r="B29">
        <v>0.14000000000000001</v>
      </c>
      <c r="C29">
        <v>28</v>
      </c>
      <c r="D29">
        <v>-0.87429999999999997</v>
      </c>
      <c r="E29">
        <v>9.5699999999999993E-2</v>
      </c>
      <c r="F29">
        <v>0.12846872000000001</v>
      </c>
      <c r="G29">
        <v>0.87947562000000001</v>
      </c>
      <c r="H29">
        <v>1</v>
      </c>
      <c r="I29">
        <v>0</v>
      </c>
      <c r="J29">
        <v>3.0326</v>
      </c>
      <c r="K29" s="8" t="s">
        <v>531</v>
      </c>
      <c r="L29" s="8" t="s">
        <v>113</v>
      </c>
      <c r="M29">
        <v>0</v>
      </c>
      <c r="N29">
        <v>0</v>
      </c>
      <c r="O29">
        <v>0.12052438</v>
      </c>
      <c r="P29">
        <v>-2.5224770000000001E-2</v>
      </c>
      <c r="Q29">
        <v>2.5224770000000001E-2</v>
      </c>
      <c r="R29">
        <v>-1.7918400000000001E-3</v>
      </c>
      <c r="S29">
        <v>-2</v>
      </c>
      <c r="T29">
        <v>0</v>
      </c>
      <c r="U29">
        <v>2</v>
      </c>
      <c r="V29">
        <v>1.8932060000000001E-2</v>
      </c>
      <c r="W29" s="1">
        <v>1.6669320000000001E-2</v>
      </c>
      <c r="X29" s="1">
        <v>0</v>
      </c>
      <c r="Y29" s="8" t="s">
        <v>532</v>
      </c>
      <c r="Z29" s="8" t="s">
        <v>533</v>
      </c>
      <c r="AA29" s="8" t="s">
        <v>534</v>
      </c>
    </row>
    <row r="30" spans="1:27" x14ac:dyDescent="0.25">
      <c r="A30">
        <v>1</v>
      </c>
      <c r="B30">
        <v>0.14499999999999999</v>
      </c>
      <c r="C30">
        <v>29</v>
      </c>
      <c r="D30">
        <v>-0.85529999999999995</v>
      </c>
      <c r="E30">
        <v>0.1124</v>
      </c>
      <c r="F30">
        <v>0.1371405</v>
      </c>
      <c r="G30">
        <v>0.86267070999999995</v>
      </c>
      <c r="H30">
        <v>1</v>
      </c>
      <c r="I30">
        <v>0</v>
      </c>
      <c r="J30">
        <v>3.0110000000000001</v>
      </c>
      <c r="K30" s="8" t="s">
        <v>535</v>
      </c>
      <c r="L30" s="8" t="s">
        <v>118</v>
      </c>
      <c r="M30">
        <v>0</v>
      </c>
      <c r="N30">
        <v>0</v>
      </c>
      <c r="O30">
        <v>0.13732928999999999</v>
      </c>
      <c r="P30">
        <v>-2.6927469999999998E-2</v>
      </c>
      <c r="Q30">
        <v>2.6927469999999998E-2</v>
      </c>
      <c r="R30">
        <v>-1.7026999999999999E-3</v>
      </c>
      <c r="S30">
        <v>-2</v>
      </c>
      <c r="T30">
        <v>0</v>
      </c>
      <c r="U30">
        <v>2</v>
      </c>
      <c r="V30">
        <v>1.9929769999999999E-2</v>
      </c>
      <c r="W30" s="1">
        <v>1.810782E-2</v>
      </c>
      <c r="X30" s="1">
        <v>0</v>
      </c>
      <c r="Y30" s="8" t="s">
        <v>536</v>
      </c>
      <c r="Z30" s="8" t="s">
        <v>537</v>
      </c>
      <c r="AA30" s="8" t="s">
        <v>538</v>
      </c>
    </row>
    <row r="31" spans="1:27" x14ac:dyDescent="0.25">
      <c r="A31">
        <v>1</v>
      </c>
      <c r="B31">
        <v>0.15</v>
      </c>
      <c r="C31">
        <v>30</v>
      </c>
      <c r="D31">
        <v>-0.83540000000000003</v>
      </c>
      <c r="E31">
        <v>0.1305</v>
      </c>
      <c r="F31">
        <v>0.14528584</v>
      </c>
      <c r="G31">
        <v>0.84551880000000001</v>
      </c>
      <c r="H31">
        <v>1</v>
      </c>
      <c r="I31">
        <v>0</v>
      </c>
      <c r="J31">
        <v>2.9866999999999999</v>
      </c>
      <c r="K31" s="8" t="s">
        <v>539</v>
      </c>
      <c r="L31" s="8" t="s">
        <v>123</v>
      </c>
      <c r="M31">
        <v>0</v>
      </c>
      <c r="N31">
        <v>0</v>
      </c>
      <c r="O31">
        <v>0.15448120000000001</v>
      </c>
      <c r="P31">
        <v>-2.852681E-2</v>
      </c>
      <c r="Q31">
        <v>2.852681E-2</v>
      </c>
      <c r="R31">
        <v>-1.5993299999999999E-3</v>
      </c>
      <c r="S31">
        <v>-2</v>
      </c>
      <c r="T31">
        <v>0</v>
      </c>
      <c r="U31">
        <v>2</v>
      </c>
      <c r="V31">
        <v>2.0809149999999998E-2</v>
      </c>
      <c r="W31" s="1">
        <v>1.9513019999999999E-2</v>
      </c>
      <c r="X31" s="1">
        <v>0</v>
      </c>
      <c r="Y31" s="8" t="s">
        <v>540</v>
      </c>
      <c r="Z31" s="8" t="s">
        <v>541</v>
      </c>
      <c r="AA31" s="8" t="s">
        <v>542</v>
      </c>
    </row>
    <row r="32" spans="1:27" x14ac:dyDescent="0.25">
      <c r="A32">
        <v>1</v>
      </c>
      <c r="B32">
        <v>0.155</v>
      </c>
      <c r="C32">
        <v>31</v>
      </c>
      <c r="D32">
        <v>-0.81459999999999999</v>
      </c>
      <c r="E32">
        <v>0.15</v>
      </c>
      <c r="F32">
        <v>0.15284</v>
      </c>
      <c r="G32">
        <v>0.82827507</v>
      </c>
      <c r="H32">
        <v>1</v>
      </c>
      <c r="I32">
        <v>0</v>
      </c>
      <c r="J32">
        <v>2.9594999999999998</v>
      </c>
      <c r="K32" s="8" t="s">
        <v>543</v>
      </c>
      <c r="L32" s="8" t="s">
        <v>128</v>
      </c>
      <c r="M32">
        <v>0</v>
      </c>
      <c r="N32">
        <v>0</v>
      </c>
      <c r="O32">
        <v>0.17172493</v>
      </c>
      <c r="P32">
        <v>-3.0010060000000002E-2</v>
      </c>
      <c r="Q32">
        <v>3.0010060000000002E-2</v>
      </c>
      <c r="R32">
        <v>-1.4832599999999999E-3</v>
      </c>
      <c r="S32">
        <v>-2</v>
      </c>
      <c r="T32">
        <v>0</v>
      </c>
      <c r="U32">
        <v>2</v>
      </c>
      <c r="V32">
        <v>2.156431E-2</v>
      </c>
      <c r="W32" s="1">
        <v>2.0870659999999999E-2</v>
      </c>
      <c r="X32" s="1">
        <v>0</v>
      </c>
      <c r="Y32" s="8" t="s">
        <v>544</v>
      </c>
      <c r="Z32" s="8" t="s">
        <v>545</v>
      </c>
      <c r="AA32" s="8" t="s">
        <v>546</v>
      </c>
    </row>
    <row r="33" spans="1:27" x14ac:dyDescent="0.25">
      <c r="A33">
        <v>1</v>
      </c>
      <c r="B33">
        <v>0.16</v>
      </c>
      <c r="C33">
        <v>32</v>
      </c>
      <c r="D33">
        <v>-0.79300000000000004</v>
      </c>
      <c r="E33">
        <v>0.17080000000000001</v>
      </c>
      <c r="F33">
        <v>0.15974642</v>
      </c>
      <c r="G33">
        <v>0.81121418999999995</v>
      </c>
      <c r="H33">
        <v>1</v>
      </c>
      <c r="I33">
        <v>0</v>
      </c>
      <c r="J33">
        <v>2.9293999999999998</v>
      </c>
      <c r="K33" s="8" t="s">
        <v>547</v>
      </c>
      <c r="L33" s="8" t="s">
        <v>133</v>
      </c>
      <c r="M33">
        <v>0</v>
      </c>
      <c r="N33">
        <v>0</v>
      </c>
      <c r="O33">
        <v>0.18878581</v>
      </c>
      <c r="P33">
        <v>-3.1366140000000001E-2</v>
      </c>
      <c r="Q33">
        <v>3.1366140000000001E-2</v>
      </c>
      <c r="R33">
        <v>-1.35607E-3</v>
      </c>
      <c r="S33">
        <v>-2</v>
      </c>
      <c r="T33">
        <v>0</v>
      </c>
      <c r="U33">
        <v>2</v>
      </c>
      <c r="V33">
        <v>2.2191639999999999E-2</v>
      </c>
      <c r="W33" s="1">
        <v>2.2166769999999999E-2</v>
      </c>
      <c r="X33" s="1">
        <v>0</v>
      </c>
      <c r="Y33" s="8" t="s">
        <v>548</v>
      </c>
      <c r="Z33" s="8" t="s">
        <v>549</v>
      </c>
      <c r="AA33" s="8" t="s">
        <v>550</v>
      </c>
    </row>
    <row r="34" spans="1:27" x14ac:dyDescent="0.25">
      <c r="A34">
        <v>1</v>
      </c>
      <c r="B34">
        <v>0.16500000000000001</v>
      </c>
      <c r="C34">
        <v>33</v>
      </c>
      <c r="D34">
        <v>-0.77080000000000004</v>
      </c>
      <c r="E34">
        <v>0.193</v>
      </c>
      <c r="F34">
        <v>0.16595699</v>
      </c>
      <c r="G34">
        <v>0.79462548</v>
      </c>
      <c r="H34">
        <v>1</v>
      </c>
      <c r="I34">
        <v>0</v>
      </c>
      <c r="J34">
        <v>2.8961999999999999</v>
      </c>
      <c r="K34" s="8" t="s">
        <v>551</v>
      </c>
      <c r="L34" s="8" t="s">
        <v>138</v>
      </c>
      <c r="M34">
        <v>0</v>
      </c>
      <c r="N34">
        <v>0</v>
      </c>
      <c r="O34">
        <v>0.20537452</v>
      </c>
      <c r="P34">
        <v>-3.2585580000000003E-2</v>
      </c>
      <c r="Q34">
        <v>3.2585580000000003E-2</v>
      </c>
      <c r="R34">
        <v>-1.21944E-3</v>
      </c>
      <c r="S34">
        <v>-2</v>
      </c>
      <c r="T34">
        <v>0</v>
      </c>
      <c r="U34">
        <v>2</v>
      </c>
      <c r="V34">
        <v>2.268968E-2</v>
      </c>
      <c r="W34" s="1">
        <v>2.3387999999999999E-2</v>
      </c>
      <c r="X34" s="1">
        <v>0</v>
      </c>
      <c r="Y34" s="8" t="s">
        <v>552</v>
      </c>
      <c r="Z34" s="8" t="s">
        <v>553</v>
      </c>
      <c r="AA34" s="8" t="s">
        <v>554</v>
      </c>
    </row>
    <row r="35" spans="1:27" x14ac:dyDescent="0.25">
      <c r="A35">
        <v>1</v>
      </c>
      <c r="B35">
        <v>0.17</v>
      </c>
      <c r="C35">
        <v>34</v>
      </c>
      <c r="D35">
        <v>-0.74809999999999999</v>
      </c>
      <c r="E35">
        <v>0.21640000000000001</v>
      </c>
      <c r="F35">
        <v>0.17143225000000001</v>
      </c>
      <c r="G35">
        <v>0.77880687000000004</v>
      </c>
      <c r="H35">
        <v>1</v>
      </c>
      <c r="I35">
        <v>0</v>
      </c>
      <c r="J35">
        <v>2.86</v>
      </c>
      <c r="K35" s="8" t="s">
        <v>555</v>
      </c>
      <c r="L35" s="8" t="s">
        <v>143</v>
      </c>
      <c r="M35">
        <v>0</v>
      </c>
      <c r="N35">
        <v>0</v>
      </c>
      <c r="O35">
        <v>0.22119312999999999</v>
      </c>
      <c r="P35">
        <v>-3.3660639999999999E-2</v>
      </c>
      <c r="Q35">
        <v>3.3660639999999999E-2</v>
      </c>
      <c r="R35">
        <v>-1.0750600000000001E-3</v>
      </c>
      <c r="S35">
        <v>-2</v>
      </c>
      <c r="T35">
        <v>0</v>
      </c>
      <c r="U35">
        <v>2</v>
      </c>
      <c r="V35">
        <v>2.3059059999999999E-2</v>
      </c>
      <c r="W35" s="1">
        <v>2.45218E-2</v>
      </c>
      <c r="X35" s="1">
        <v>0</v>
      </c>
      <c r="Y35" s="8" t="s">
        <v>556</v>
      </c>
      <c r="Z35" s="8" t="s">
        <v>557</v>
      </c>
      <c r="AA35" s="8" t="s">
        <v>558</v>
      </c>
    </row>
    <row r="36" spans="1:27" x14ac:dyDescent="0.25">
      <c r="A36">
        <v>1</v>
      </c>
      <c r="B36">
        <v>0.17499999999999999</v>
      </c>
      <c r="C36">
        <v>35</v>
      </c>
      <c r="D36">
        <v>-0.72509999999999997</v>
      </c>
      <c r="E36">
        <v>0.2409</v>
      </c>
      <c r="F36">
        <v>0.17614137999999999</v>
      </c>
      <c r="G36">
        <v>0.76405725000000002</v>
      </c>
      <c r="H36">
        <v>1</v>
      </c>
      <c r="I36">
        <v>0</v>
      </c>
      <c r="J36">
        <v>2.8208000000000002</v>
      </c>
      <c r="K36" s="8" t="s">
        <v>559</v>
      </c>
      <c r="L36" s="8" t="s">
        <v>148</v>
      </c>
      <c r="M36">
        <v>0</v>
      </c>
      <c r="N36">
        <v>0</v>
      </c>
      <c r="O36">
        <v>0.23594275000000001</v>
      </c>
      <c r="P36">
        <v>-3.4585280000000003E-2</v>
      </c>
      <c r="Q36">
        <v>3.4585280000000003E-2</v>
      </c>
      <c r="R36">
        <v>-9.2462999999999996E-4</v>
      </c>
      <c r="S36">
        <v>-2</v>
      </c>
      <c r="T36">
        <v>0</v>
      </c>
      <c r="U36">
        <v>2</v>
      </c>
      <c r="V36">
        <v>2.330231E-2</v>
      </c>
      <c r="W36" s="1">
        <v>2.5556679999999998E-2</v>
      </c>
      <c r="X36" s="1">
        <v>0</v>
      </c>
      <c r="Y36" s="8" t="s">
        <v>560</v>
      </c>
      <c r="Z36" s="8" t="s">
        <v>561</v>
      </c>
      <c r="AA36" s="8" t="s">
        <v>562</v>
      </c>
    </row>
    <row r="37" spans="1:27" x14ac:dyDescent="0.25">
      <c r="A37">
        <v>1</v>
      </c>
      <c r="B37">
        <v>0.18</v>
      </c>
      <c r="C37">
        <v>36</v>
      </c>
      <c r="D37">
        <v>-0.70179999999999998</v>
      </c>
      <c r="E37">
        <v>0.26650000000000001</v>
      </c>
      <c r="F37">
        <v>0.18006211</v>
      </c>
      <c r="G37">
        <v>0.75066765000000002</v>
      </c>
      <c r="H37">
        <v>1</v>
      </c>
      <c r="I37">
        <v>0</v>
      </c>
      <c r="J37">
        <v>2.7787000000000002</v>
      </c>
      <c r="K37" s="8" t="s">
        <v>563</v>
      </c>
      <c r="L37" s="8" t="s">
        <v>153</v>
      </c>
      <c r="M37">
        <v>0</v>
      </c>
      <c r="N37">
        <v>0</v>
      </c>
      <c r="O37">
        <v>0.24933235000000001</v>
      </c>
      <c r="P37">
        <v>-3.5355110000000002E-2</v>
      </c>
      <c r="Q37">
        <v>3.5355110000000002E-2</v>
      </c>
      <c r="R37">
        <v>-7.6982999999999999E-4</v>
      </c>
      <c r="S37">
        <v>-2</v>
      </c>
      <c r="T37">
        <v>0</v>
      </c>
      <c r="U37">
        <v>2</v>
      </c>
      <c r="V37">
        <v>2.3423650000000001E-2</v>
      </c>
      <c r="W37" s="1">
        <v>2.648238E-2</v>
      </c>
      <c r="X37" s="1">
        <v>0</v>
      </c>
      <c r="Y37" s="8" t="s">
        <v>564</v>
      </c>
      <c r="Z37" s="8" t="s">
        <v>565</v>
      </c>
      <c r="AA37" s="8" t="s">
        <v>566</v>
      </c>
    </row>
    <row r="38" spans="1:27" x14ac:dyDescent="0.25">
      <c r="A38">
        <v>1</v>
      </c>
      <c r="B38">
        <v>0.185</v>
      </c>
      <c r="C38">
        <v>37</v>
      </c>
      <c r="D38">
        <v>-0.6784</v>
      </c>
      <c r="E38">
        <v>0.29299999999999998</v>
      </c>
      <c r="F38">
        <v>0.18318050999999999</v>
      </c>
      <c r="G38">
        <v>0.73891103000000002</v>
      </c>
      <c r="H38">
        <v>1</v>
      </c>
      <c r="I38">
        <v>0</v>
      </c>
      <c r="J38">
        <v>2.7339000000000002</v>
      </c>
      <c r="K38" s="8" t="s">
        <v>567</v>
      </c>
      <c r="L38" s="8" t="s">
        <v>158</v>
      </c>
      <c r="M38">
        <v>0</v>
      </c>
      <c r="N38">
        <v>0</v>
      </c>
      <c r="O38">
        <v>0.26108896999999998</v>
      </c>
      <c r="P38">
        <v>-3.5967409999999998E-2</v>
      </c>
      <c r="Q38">
        <v>3.5967409999999998E-2</v>
      </c>
      <c r="R38">
        <v>-6.1229999999999998E-4</v>
      </c>
      <c r="S38">
        <v>-2</v>
      </c>
      <c r="T38">
        <v>0</v>
      </c>
      <c r="U38">
        <v>2</v>
      </c>
      <c r="V38">
        <v>2.3428750000000002E-2</v>
      </c>
      <c r="W38" s="1">
        <v>2.729007E-2</v>
      </c>
      <c r="X38" s="1">
        <v>0</v>
      </c>
      <c r="Y38" s="8" t="s">
        <v>568</v>
      </c>
      <c r="Z38" s="8" t="s">
        <v>569</v>
      </c>
      <c r="AA38" s="8" t="s">
        <v>570</v>
      </c>
    </row>
    <row r="39" spans="1:27" x14ac:dyDescent="0.25">
      <c r="A39">
        <v>1</v>
      </c>
      <c r="B39">
        <v>0.19</v>
      </c>
      <c r="C39">
        <v>38</v>
      </c>
      <c r="D39">
        <v>-0.65490000000000004</v>
      </c>
      <c r="E39">
        <v>0.32029999999999997</v>
      </c>
      <c r="F39">
        <v>0.18549062999999999</v>
      </c>
      <c r="G39">
        <v>0.72903161000000005</v>
      </c>
      <c r="H39">
        <v>1</v>
      </c>
      <c r="I39">
        <v>0</v>
      </c>
      <c r="J39">
        <v>2.6867999999999999</v>
      </c>
      <c r="K39" s="8" t="s">
        <v>571</v>
      </c>
      <c r="L39" s="8" t="s">
        <v>163</v>
      </c>
      <c r="M39">
        <v>0</v>
      </c>
      <c r="N39">
        <v>0</v>
      </c>
      <c r="O39">
        <v>0.27096839</v>
      </c>
      <c r="P39">
        <v>-3.6421000000000002E-2</v>
      </c>
      <c r="Q39">
        <v>3.6421000000000002E-2</v>
      </c>
      <c r="R39">
        <v>-4.5359000000000003E-4</v>
      </c>
      <c r="S39">
        <v>-2</v>
      </c>
      <c r="T39">
        <v>0</v>
      </c>
      <c r="U39">
        <v>2</v>
      </c>
      <c r="V39">
        <v>2.332445E-2</v>
      </c>
      <c r="W39" s="1">
        <v>2.7972469999999999E-2</v>
      </c>
      <c r="X39" s="1">
        <v>0</v>
      </c>
      <c r="Y39" s="8" t="s">
        <v>572</v>
      </c>
      <c r="Z39" s="8" t="s">
        <v>573</v>
      </c>
      <c r="AA39" s="8" t="s">
        <v>574</v>
      </c>
    </row>
    <row r="40" spans="1:27" x14ac:dyDescent="0.25">
      <c r="A40">
        <v>1</v>
      </c>
      <c r="B40">
        <v>0.19500000000000001</v>
      </c>
      <c r="C40">
        <v>39</v>
      </c>
      <c r="D40">
        <v>-0.63160000000000005</v>
      </c>
      <c r="E40">
        <v>0.34820000000000001</v>
      </c>
      <c r="F40">
        <v>0.18699408000000001</v>
      </c>
      <c r="G40">
        <v>0.72123400000000004</v>
      </c>
      <c r="H40">
        <v>1</v>
      </c>
      <c r="I40">
        <v>0</v>
      </c>
      <c r="J40">
        <v>2.6377000000000002</v>
      </c>
      <c r="K40" s="8" t="s">
        <v>575</v>
      </c>
      <c r="L40" s="8" t="s">
        <v>168</v>
      </c>
      <c r="M40">
        <v>0</v>
      </c>
      <c r="N40">
        <v>0</v>
      </c>
      <c r="O40">
        <v>0.27876600000000001</v>
      </c>
      <c r="P40">
        <v>-3.6716199999999997E-2</v>
      </c>
      <c r="Q40">
        <v>3.6716199999999997E-2</v>
      </c>
      <c r="R40">
        <v>-2.9520000000000002E-4</v>
      </c>
      <c r="S40">
        <v>-2</v>
      </c>
      <c r="T40">
        <v>0</v>
      </c>
      <c r="U40">
        <v>2</v>
      </c>
      <c r="V40">
        <v>2.3118489999999998E-2</v>
      </c>
      <c r="W40" s="1">
        <v>2.8523929999999999E-2</v>
      </c>
      <c r="X40" s="1">
        <v>0</v>
      </c>
      <c r="Y40" s="8" t="s">
        <v>576</v>
      </c>
      <c r="Z40" s="8" t="s">
        <v>577</v>
      </c>
      <c r="AA40" s="8" t="s">
        <v>578</v>
      </c>
    </row>
    <row r="41" spans="1:27" x14ac:dyDescent="0.25">
      <c r="A41">
        <v>1</v>
      </c>
      <c r="B41">
        <v>0.2</v>
      </c>
      <c r="C41">
        <v>40</v>
      </c>
      <c r="D41">
        <v>-0.60850000000000004</v>
      </c>
      <c r="E41">
        <v>0.37669999999999998</v>
      </c>
      <c r="F41">
        <v>0.18769948</v>
      </c>
      <c r="G41">
        <v>0.71567360000000002</v>
      </c>
      <c r="H41">
        <v>1</v>
      </c>
      <c r="I41">
        <v>0</v>
      </c>
      <c r="J41">
        <v>2.5872000000000002</v>
      </c>
      <c r="K41" s="8" t="s">
        <v>579</v>
      </c>
      <c r="L41" s="8" t="s">
        <v>173</v>
      </c>
      <c r="M41">
        <v>0</v>
      </c>
      <c r="N41">
        <v>0</v>
      </c>
      <c r="O41">
        <v>0.28432639999999998</v>
      </c>
      <c r="P41">
        <v>-3.6854709999999999E-2</v>
      </c>
      <c r="Q41">
        <v>3.6854709999999999E-2</v>
      </c>
      <c r="R41">
        <v>-1.3851E-4</v>
      </c>
      <c r="S41">
        <v>-2</v>
      </c>
      <c r="T41">
        <v>0</v>
      </c>
      <c r="U41">
        <v>2</v>
      </c>
      <c r="V41">
        <v>2.2819220000000001E-2</v>
      </c>
      <c r="W41" s="1">
        <v>2.8940500000000001E-2</v>
      </c>
      <c r="X41" s="1">
        <v>0</v>
      </c>
      <c r="Y41" s="8" t="s">
        <v>580</v>
      </c>
      <c r="Z41" s="8" t="s">
        <v>581</v>
      </c>
      <c r="AA41" s="8" t="s">
        <v>582</v>
      </c>
    </row>
    <row r="42" spans="1:27" x14ac:dyDescent="0.25">
      <c r="A42">
        <v>1</v>
      </c>
      <c r="B42">
        <v>0.20499999999999999</v>
      </c>
      <c r="C42">
        <v>41</v>
      </c>
      <c r="D42">
        <v>-0.5857</v>
      </c>
      <c r="E42">
        <v>0.40570000000000001</v>
      </c>
      <c r="F42">
        <v>0.18762196</v>
      </c>
      <c r="G42">
        <v>0.71244883000000003</v>
      </c>
      <c r="H42">
        <v>1</v>
      </c>
      <c r="I42">
        <v>0</v>
      </c>
      <c r="J42">
        <v>2.5358000000000001</v>
      </c>
      <c r="K42" s="8" t="s">
        <v>583</v>
      </c>
      <c r="L42" s="8" t="s">
        <v>178</v>
      </c>
      <c r="M42">
        <v>0</v>
      </c>
      <c r="N42">
        <v>0</v>
      </c>
      <c r="O42">
        <v>0.28755117000000002</v>
      </c>
      <c r="P42">
        <v>-3.6839490000000003E-2</v>
      </c>
      <c r="Q42">
        <v>3.6839490000000003E-2</v>
      </c>
      <c r="R42">
        <v>1.522E-5</v>
      </c>
      <c r="S42">
        <v>-2</v>
      </c>
      <c r="T42">
        <v>0</v>
      </c>
      <c r="U42">
        <v>2</v>
      </c>
      <c r="V42">
        <v>2.2435360000000001E-2</v>
      </c>
      <c r="W42" s="1">
        <v>2.92199E-2</v>
      </c>
      <c r="X42" s="1">
        <v>0</v>
      </c>
      <c r="Y42" s="8" t="s">
        <v>584</v>
      </c>
      <c r="Z42" s="8" t="s">
        <v>585</v>
      </c>
      <c r="AA42" s="8" t="s">
        <v>586</v>
      </c>
    </row>
    <row r="43" spans="1:27" x14ac:dyDescent="0.25">
      <c r="A43">
        <v>1</v>
      </c>
      <c r="B43">
        <v>0.21</v>
      </c>
      <c r="C43">
        <v>42</v>
      </c>
      <c r="D43">
        <v>-0.56320000000000003</v>
      </c>
      <c r="E43">
        <v>0.43490000000000001</v>
      </c>
      <c r="F43">
        <v>0.18678248</v>
      </c>
      <c r="G43">
        <v>0.71159660000000002</v>
      </c>
      <c r="H43">
        <v>1</v>
      </c>
      <c r="I43">
        <v>0</v>
      </c>
      <c r="J43">
        <v>2.4841000000000002</v>
      </c>
      <c r="K43" s="8" t="s">
        <v>587</v>
      </c>
      <c r="L43" s="8" t="s">
        <v>183</v>
      </c>
      <c r="M43">
        <v>0</v>
      </c>
      <c r="N43">
        <v>0</v>
      </c>
      <c r="O43">
        <v>0.28840339999999998</v>
      </c>
      <c r="P43">
        <v>-3.6674659999999998E-2</v>
      </c>
      <c r="Q43">
        <v>3.6674659999999998E-2</v>
      </c>
      <c r="R43">
        <v>1.6483000000000001E-4</v>
      </c>
      <c r="S43">
        <v>-2</v>
      </c>
      <c r="T43">
        <v>0</v>
      </c>
      <c r="U43">
        <v>2</v>
      </c>
      <c r="V43">
        <v>2.1975729999999999E-2</v>
      </c>
      <c r="W43" s="1">
        <v>2.9361499999999999E-2</v>
      </c>
      <c r="X43" s="1">
        <v>0</v>
      </c>
      <c r="Y43" s="8" t="s">
        <v>588</v>
      </c>
      <c r="Z43" s="8" t="s">
        <v>589</v>
      </c>
      <c r="AA43" s="8" t="s">
        <v>590</v>
      </c>
    </row>
    <row r="44" spans="1:27" x14ac:dyDescent="0.25">
      <c r="A44">
        <v>1</v>
      </c>
      <c r="B44">
        <v>0.215</v>
      </c>
      <c r="C44">
        <v>43</v>
      </c>
      <c r="D44">
        <v>-0.5413</v>
      </c>
      <c r="E44">
        <v>0.46429999999999999</v>
      </c>
      <c r="F44">
        <v>0.18520726000000001</v>
      </c>
      <c r="G44">
        <v>0.71309131000000003</v>
      </c>
      <c r="H44">
        <v>1</v>
      </c>
      <c r="I44">
        <v>0</v>
      </c>
      <c r="J44">
        <v>2.4325999999999999</v>
      </c>
      <c r="K44" s="8" t="s">
        <v>591</v>
      </c>
      <c r="L44" s="8" t="s">
        <v>188</v>
      </c>
      <c r="M44">
        <v>0</v>
      </c>
      <c r="N44">
        <v>0</v>
      </c>
      <c r="O44">
        <v>0.28690869000000002</v>
      </c>
      <c r="P44">
        <v>-3.6365359999999999E-2</v>
      </c>
      <c r="Q44">
        <v>3.6365359999999999E-2</v>
      </c>
      <c r="R44">
        <v>3.0928999999999999E-4</v>
      </c>
      <c r="S44">
        <v>-2</v>
      </c>
      <c r="T44">
        <v>0</v>
      </c>
      <c r="U44">
        <v>2</v>
      </c>
      <c r="V44">
        <v>2.1449050000000001E-2</v>
      </c>
      <c r="W44" s="1">
        <v>2.936627E-2</v>
      </c>
      <c r="X44" s="1">
        <v>0</v>
      </c>
      <c r="Y44" s="8" t="s">
        <v>592</v>
      </c>
      <c r="Z44" s="8" t="s">
        <v>593</v>
      </c>
      <c r="AA44" s="8" t="s">
        <v>594</v>
      </c>
    </row>
    <row r="45" spans="1:27" x14ac:dyDescent="0.25">
      <c r="A45">
        <v>1</v>
      </c>
      <c r="B45">
        <v>0.22</v>
      </c>
      <c r="C45">
        <v>44</v>
      </c>
      <c r="D45">
        <v>-0.51980000000000004</v>
      </c>
      <c r="E45">
        <v>0.49359999999999998</v>
      </c>
      <c r="F45">
        <v>0.18292711</v>
      </c>
      <c r="G45">
        <v>0.71684777</v>
      </c>
      <c r="H45">
        <v>1</v>
      </c>
      <c r="I45">
        <v>0</v>
      </c>
      <c r="J45">
        <v>2.3820000000000001</v>
      </c>
      <c r="K45" s="8" t="s">
        <v>595</v>
      </c>
      <c r="L45" s="8" t="s">
        <v>193</v>
      </c>
      <c r="M45">
        <v>0</v>
      </c>
      <c r="N45">
        <v>0</v>
      </c>
      <c r="O45">
        <v>0.28315223</v>
      </c>
      <c r="P45">
        <v>-3.5917650000000002E-2</v>
      </c>
      <c r="Q45">
        <v>3.5917650000000002E-2</v>
      </c>
      <c r="R45">
        <v>4.4770999999999998E-4</v>
      </c>
      <c r="S45">
        <v>-2</v>
      </c>
      <c r="T45">
        <v>0</v>
      </c>
      <c r="U45">
        <v>2</v>
      </c>
      <c r="V45">
        <v>2.0863779999999998E-2</v>
      </c>
      <c r="W45" s="1">
        <v>2.923663E-2</v>
      </c>
      <c r="X45" s="1">
        <v>0</v>
      </c>
      <c r="Y45" s="8" t="s">
        <v>596</v>
      </c>
      <c r="Z45" s="8" t="s">
        <v>597</v>
      </c>
      <c r="AA45" s="8" t="s">
        <v>598</v>
      </c>
    </row>
    <row r="46" spans="1:27" x14ac:dyDescent="0.25">
      <c r="A46">
        <v>1</v>
      </c>
      <c r="B46">
        <v>0.22500000000000001</v>
      </c>
      <c r="C46">
        <v>45</v>
      </c>
      <c r="D46">
        <v>-0.49890000000000001</v>
      </c>
      <c r="E46">
        <v>0.52290000000000003</v>
      </c>
      <c r="F46">
        <v>0.17997682000000001</v>
      </c>
      <c r="G46">
        <v>0.72272762000000002</v>
      </c>
      <c r="H46">
        <v>1</v>
      </c>
      <c r="I46">
        <v>0</v>
      </c>
      <c r="J46">
        <v>2.3328000000000002</v>
      </c>
      <c r="K46" s="8" t="s">
        <v>599</v>
      </c>
      <c r="L46" s="8" t="s">
        <v>198</v>
      </c>
      <c r="M46">
        <v>0</v>
      </c>
      <c r="N46">
        <v>0</v>
      </c>
      <c r="O46">
        <v>0.27727237999999998</v>
      </c>
      <c r="P46">
        <v>-3.5338370000000001E-2</v>
      </c>
      <c r="Q46">
        <v>3.5338370000000001E-2</v>
      </c>
      <c r="R46">
        <v>5.7928999999999999E-4</v>
      </c>
      <c r="S46">
        <v>-2</v>
      </c>
      <c r="T46">
        <v>0</v>
      </c>
      <c r="U46">
        <v>2</v>
      </c>
      <c r="V46">
        <v>2.0227970000000001E-2</v>
      </c>
      <c r="W46" s="1">
        <v>2.897636E-2</v>
      </c>
      <c r="X46" s="1">
        <v>0</v>
      </c>
      <c r="Y46" s="8" t="s">
        <v>600</v>
      </c>
      <c r="Z46" s="8" t="s">
        <v>601</v>
      </c>
      <c r="AA46" s="8" t="s">
        <v>602</v>
      </c>
    </row>
    <row r="47" spans="1:27" x14ac:dyDescent="0.25">
      <c r="A47">
        <v>1</v>
      </c>
      <c r="B47">
        <v>0.23</v>
      </c>
      <c r="C47">
        <v>46</v>
      </c>
      <c r="D47">
        <v>-0.47870000000000001</v>
      </c>
      <c r="E47">
        <v>0.55179999999999996</v>
      </c>
      <c r="F47">
        <v>0.17639458</v>
      </c>
      <c r="G47">
        <v>0.73054834000000002</v>
      </c>
      <c r="H47">
        <v>1</v>
      </c>
      <c r="I47">
        <v>0</v>
      </c>
      <c r="J47">
        <v>2.2852999999999999</v>
      </c>
      <c r="K47" s="8" t="s">
        <v>603</v>
      </c>
      <c r="L47" s="8" t="s">
        <v>203</v>
      </c>
      <c r="M47">
        <v>0</v>
      </c>
      <c r="N47">
        <v>0</v>
      </c>
      <c r="O47">
        <v>0.26945165999999998</v>
      </c>
      <c r="P47">
        <v>-3.4634989999999997E-2</v>
      </c>
      <c r="Q47">
        <v>3.4634989999999997E-2</v>
      </c>
      <c r="R47">
        <v>7.0337000000000004E-4</v>
      </c>
      <c r="S47">
        <v>-2</v>
      </c>
      <c r="T47">
        <v>0</v>
      </c>
      <c r="U47">
        <v>2</v>
      </c>
      <c r="V47">
        <v>1.954914E-2</v>
      </c>
      <c r="W47" s="1">
        <v>2.859045E-2</v>
      </c>
      <c r="X47" s="1">
        <v>0</v>
      </c>
      <c r="Y47" s="8" t="s">
        <v>604</v>
      </c>
      <c r="Z47" s="8" t="s">
        <v>605</v>
      </c>
      <c r="AA47" s="8" t="s">
        <v>606</v>
      </c>
    </row>
    <row r="48" spans="1:27" x14ac:dyDescent="0.25">
      <c r="A48">
        <v>1</v>
      </c>
      <c r="B48">
        <v>0.23499999999999999</v>
      </c>
      <c r="C48">
        <v>47</v>
      </c>
      <c r="D48">
        <v>-0.4592</v>
      </c>
      <c r="E48">
        <v>0.58040000000000003</v>
      </c>
      <c r="F48">
        <v>0.17222135999999999</v>
      </c>
      <c r="G48">
        <v>0.74009385000000005</v>
      </c>
      <c r="H48">
        <v>1</v>
      </c>
      <c r="I48">
        <v>0</v>
      </c>
      <c r="J48">
        <v>2.2401</v>
      </c>
      <c r="K48" s="8" t="s">
        <v>607</v>
      </c>
      <c r="L48" s="8" t="s">
        <v>208</v>
      </c>
      <c r="M48">
        <v>0</v>
      </c>
      <c r="N48">
        <v>0</v>
      </c>
      <c r="O48">
        <v>0.25990615</v>
      </c>
      <c r="P48">
        <v>-3.381559E-2</v>
      </c>
      <c r="Q48">
        <v>3.381559E-2</v>
      </c>
      <c r="R48">
        <v>8.1941000000000002E-4</v>
      </c>
      <c r="S48">
        <v>-2</v>
      </c>
      <c r="T48">
        <v>0</v>
      </c>
      <c r="U48">
        <v>2</v>
      </c>
      <c r="V48">
        <v>1.8834279999999998E-2</v>
      </c>
      <c r="W48" s="1">
        <v>2.8084939999999999E-2</v>
      </c>
      <c r="X48" s="1">
        <v>0</v>
      </c>
      <c r="Y48" s="8" t="s">
        <v>608</v>
      </c>
      <c r="Z48" s="8" t="s">
        <v>609</v>
      </c>
      <c r="AA48" s="8" t="s">
        <v>610</v>
      </c>
    </row>
    <row r="49" spans="1:27" x14ac:dyDescent="0.25">
      <c r="A49">
        <v>1</v>
      </c>
      <c r="B49">
        <v>0.24</v>
      </c>
      <c r="C49">
        <v>48</v>
      </c>
      <c r="D49">
        <v>-0.44030000000000002</v>
      </c>
      <c r="E49">
        <v>0.60850000000000004</v>
      </c>
      <c r="F49">
        <v>0.16750045999999999</v>
      </c>
      <c r="G49">
        <v>0.75112559000000001</v>
      </c>
      <c r="H49">
        <v>1</v>
      </c>
      <c r="I49">
        <v>0</v>
      </c>
      <c r="J49">
        <v>2.1972</v>
      </c>
      <c r="K49" s="8" t="s">
        <v>611</v>
      </c>
      <c r="L49" s="8" t="s">
        <v>213</v>
      </c>
      <c r="M49">
        <v>0</v>
      </c>
      <c r="N49">
        <v>0</v>
      </c>
      <c r="O49">
        <v>0.24887440999999999</v>
      </c>
      <c r="P49">
        <v>-3.2888639999999997E-2</v>
      </c>
      <c r="Q49">
        <v>3.2888639999999997E-2</v>
      </c>
      <c r="R49">
        <v>9.2694999999999995E-4</v>
      </c>
      <c r="S49">
        <v>-2</v>
      </c>
      <c r="T49">
        <v>0</v>
      </c>
      <c r="U49">
        <v>2</v>
      </c>
      <c r="V49">
        <v>1.808972E-2</v>
      </c>
      <c r="W49" s="1">
        <v>2.7466790000000001E-2</v>
      </c>
      <c r="X49" s="1">
        <v>0</v>
      </c>
      <c r="Y49" s="8" t="s">
        <v>612</v>
      </c>
      <c r="Z49" s="8" t="s">
        <v>613</v>
      </c>
      <c r="AA49" s="8" t="s">
        <v>614</v>
      </c>
    </row>
    <row r="50" spans="1:27" x14ac:dyDescent="0.25">
      <c r="A50">
        <v>1</v>
      </c>
      <c r="B50">
        <v>0.245</v>
      </c>
      <c r="C50">
        <v>49</v>
      </c>
      <c r="D50">
        <v>-0.42220000000000002</v>
      </c>
      <c r="E50">
        <v>0.63600000000000001</v>
      </c>
      <c r="F50">
        <v>0.1622769</v>
      </c>
      <c r="G50">
        <v>0.76339303999999997</v>
      </c>
      <c r="H50">
        <v>1</v>
      </c>
      <c r="I50">
        <v>0</v>
      </c>
      <c r="J50">
        <v>2.1568999999999998</v>
      </c>
      <c r="K50" s="8" t="s">
        <v>615</v>
      </c>
      <c r="L50" s="8" t="s">
        <v>218</v>
      </c>
      <c r="M50">
        <v>0</v>
      </c>
      <c r="N50">
        <v>0</v>
      </c>
      <c r="O50">
        <v>0.23660696000000001</v>
      </c>
      <c r="P50">
        <v>-3.1863000000000002E-2</v>
      </c>
      <c r="Q50">
        <v>3.1863000000000002E-2</v>
      </c>
      <c r="R50">
        <v>1.02564E-3</v>
      </c>
      <c r="S50">
        <v>-2</v>
      </c>
      <c r="T50">
        <v>0</v>
      </c>
      <c r="U50">
        <v>2</v>
      </c>
      <c r="V50">
        <v>1.7321240000000002E-2</v>
      </c>
      <c r="W50" s="1">
        <v>2.6743699999999999E-2</v>
      </c>
      <c r="X50" s="1">
        <v>0</v>
      </c>
      <c r="Y50" s="8" t="s">
        <v>616</v>
      </c>
      <c r="Z50" s="8" t="s">
        <v>617</v>
      </c>
      <c r="AA50" s="8" t="s">
        <v>618</v>
      </c>
    </row>
    <row r="51" spans="1:27" x14ac:dyDescent="0.25">
      <c r="A51">
        <v>1</v>
      </c>
      <c r="B51">
        <v>0.25</v>
      </c>
      <c r="C51">
        <v>50</v>
      </c>
      <c r="D51">
        <v>-0.40489999999999998</v>
      </c>
      <c r="E51">
        <v>0.66269999999999996</v>
      </c>
      <c r="F51">
        <v>0.15659708</v>
      </c>
      <c r="G51">
        <v>0.77664299000000003</v>
      </c>
      <c r="H51">
        <v>1</v>
      </c>
      <c r="I51">
        <v>0</v>
      </c>
      <c r="J51">
        <v>2.1192000000000002</v>
      </c>
      <c r="K51" s="8" t="s">
        <v>619</v>
      </c>
      <c r="L51" s="8" t="s">
        <v>223</v>
      </c>
      <c r="M51">
        <v>0</v>
      </c>
      <c r="N51">
        <v>0</v>
      </c>
      <c r="O51">
        <v>0.22335700999999999</v>
      </c>
      <c r="P51">
        <v>-3.0747759999999999E-2</v>
      </c>
      <c r="Q51">
        <v>3.0747759999999999E-2</v>
      </c>
      <c r="R51">
        <v>1.11523E-3</v>
      </c>
      <c r="S51">
        <v>-2</v>
      </c>
      <c r="T51">
        <v>0</v>
      </c>
      <c r="U51">
        <v>2</v>
      </c>
      <c r="V51">
        <v>1.653398E-2</v>
      </c>
      <c r="W51" s="1">
        <v>2.5923979999999999E-2</v>
      </c>
      <c r="X51" s="1">
        <v>0</v>
      </c>
      <c r="Y51" s="8" t="s">
        <v>620</v>
      </c>
      <c r="Z51" s="8" t="s">
        <v>621</v>
      </c>
      <c r="AA51" s="8" t="s">
        <v>622</v>
      </c>
    </row>
    <row r="52" spans="1:27" x14ac:dyDescent="0.25">
      <c r="A52">
        <v>1</v>
      </c>
      <c r="B52">
        <v>0.255</v>
      </c>
      <c r="C52">
        <v>51</v>
      </c>
      <c r="D52">
        <v>-0.38840000000000002</v>
      </c>
      <c r="E52">
        <v>0.68869999999999998</v>
      </c>
      <c r="F52">
        <v>0.15050827999999999</v>
      </c>
      <c r="G52">
        <v>0.79062723999999995</v>
      </c>
      <c r="H52">
        <v>1</v>
      </c>
      <c r="I52">
        <v>0</v>
      </c>
      <c r="J52">
        <v>2.0842999999999998</v>
      </c>
      <c r="K52" s="8" t="s">
        <v>623</v>
      </c>
      <c r="L52" s="8" t="s">
        <v>228</v>
      </c>
      <c r="M52">
        <v>0</v>
      </c>
      <c r="N52">
        <v>0</v>
      </c>
      <c r="O52">
        <v>0.20937275999999999</v>
      </c>
      <c r="P52">
        <v>-2.9552229999999999E-2</v>
      </c>
      <c r="Q52">
        <v>2.9552229999999999E-2</v>
      </c>
      <c r="R52">
        <v>1.19553E-3</v>
      </c>
      <c r="S52">
        <v>-2</v>
      </c>
      <c r="T52">
        <v>0</v>
      </c>
      <c r="U52">
        <v>2</v>
      </c>
      <c r="V52">
        <v>1.5732570000000001E-2</v>
      </c>
      <c r="W52" s="1">
        <v>2.5016409999999999E-2</v>
      </c>
      <c r="X52" s="1">
        <v>0</v>
      </c>
      <c r="Y52" s="8" t="s">
        <v>624</v>
      </c>
      <c r="Z52" s="8" t="s">
        <v>625</v>
      </c>
      <c r="AA52" s="8" t="s">
        <v>626</v>
      </c>
    </row>
    <row r="53" spans="1:27" x14ac:dyDescent="0.25">
      <c r="A53">
        <v>1</v>
      </c>
      <c r="B53">
        <v>0.26</v>
      </c>
      <c r="C53">
        <v>52</v>
      </c>
      <c r="D53">
        <v>-0.37259999999999999</v>
      </c>
      <c r="E53">
        <v>0.7137</v>
      </c>
      <c r="F53">
        <v>0.14405834000000001</v>
      </c>
      <c r="G53">
        <v>0.80510855999999997</v>
      </c>
      <c r="H53">
        <v>1</v>
      </c>
      <c r="I53">
        <v>0</v>
      </c>
      <c r="J53">
        <v>2.052</v>
      </c>
      <c r="K53" s="8" t="s">
        <v>627</v>
      </c>
      <c r="L53" s="8" t="s">
        <v>233</v>
      </c>
      <c r="M53">
        <v>0</v>
      </c>
      <c r="N53">
        <v>0</v>
      </c>
      <c r="O53">
        <v>0.19489144</v>
      </c>
      <c r="P53">
        <v>-2.8285790000000002E-2</v>
      </c>
      <c r="Q53">
        <v>2.8285790000000002E-2</v>
      </c>
      <c r="R53">
        <v>1.26644E-3</v>
      </c>
      <c r="S53">
        <v>-2</v>
      </c>
      <c r="T53">
        <v>0</v>
      </c>
      <c r="U53">
        <v>2</v>
      </c>
      <c r="V53">
        <v>1.492112E-2</v>
      </c>
      <c r="W53" s="1">
        <v>2.403011E-2</v>
      </c>
      <c r="X53" s="1">
        <v>0</v>
      </c>
      <c r="Y53" s="8" t="s">
        <v>628</v>
      </c>
      <c r="Z53" s="8" t="s">
        <v>629</v>
      </c>
      <c r="AA53" s="8" t="s">
        <v>630</v>
      </c>
    </row>
    <row r="54" spans="1:27" x14ac:dyDescent="0.25">
      <c r="A54">
        <v>1</v>
      </c>
      <c r="B54">
        <v>0.26500000000000001</v>
      </c>
      <c r="C54">
        <v>53</v>
      </c>
      <c r="D54">
        <v>-0.35770000000000002</v>
      </c>
      <c r="E54">
        <v>0.73770000000000002</v>
      </c>
      <c r="F54">
        <v>0.13729532</v>
      </c>
      <c r="G54">
        <v>0.81986497000000003</v>
      </c>
      <c r="H54">
        <v>1</v>
      </c>
      <c r="I54">
        <v>0</v>
      </c>
      <c r="J54">
        <v>2.0223</v>
      </c>
      <c r="K54" s="8" t="s">
        <v>631</v>
      </c>
      <c r="L54" s="8" t="s">
        <v>238</v>
      </c>
      <c r="M54">
        <v>0</v>
      </c>
      <c r="N54">
        <v>0</v>
      </c>
      <c r="O54">
        <v>0.18013503</v>
      </c>
      <c r="P54">
        <v>-2.6957869999999998E-2</v>
      </c>
      <c r="Q54">
        <v>2.6957869999999998E-2</v>
      </c>
      <c r="R54">
        <v>1.32792E-3</v>
      </c>
      <c r="S54">
        <v>-2</v>
      </c>
      <c r="T54">
        <v>0</v>
      </c>
      <c r="U54">
        <v>2</v>
      </c>
      <c r="V54">
        <v>1.4103299999999999E-2</v>
      </c>
      <c r="W54" s="1">
        <v>2.2974419999999999E-2</v>
      </c>
      <c r="X54" s="1">
        <v>0</v>
      </c>
      <c r="Y54" s="8" t="s">
        <v>632</v>
      </c>
      <c r="Z54" s="8" t="s">
        <v>633</v>
      </c>
      <c r="AA54" s="8" t="s">
        <v>634</v>
      </c>
    </row>
    <row r="55" spans="1:27" x14ac:dyDescent="0.25">
      <c r="A55">
        <v>1</v>
      </c>
      <c r="B55">
        <v>0.27</v>
      </c>
      <c r="C55">
        <v>54</v>
      </c>
      <c r="D55">
        <v>-0.34360000000000002</v>
      </c>
      <c r="E55">
        <v>0.76070000000000004</v>
      </c>
      <c r="F55">
        <v>0.1302672</v>
      </c>
      <c r="G55">
        <v>0.83469256999999997</v>
      </c>
      <c r="H55">
        <v>1</v>
      </c>
      <c r="I55">
        <v>0</v>
      </c>
      <c r="J55">
        <v>1.9951000000000001</v>
      </c>
      <c r="K55" s="8" t="s">
        <v>635</v>
      </c>
      <c r="L55" s="8" t="s">
        <v>243</v>
      </c>
      <c r="M55">
        <v>0</v>
      </c>
      <c r="N55">
        <v>0</v>
      </c>
      <c r="O55">
        <v>0.16530743000000001</v>
      </c>
      <c r="P55">
        <v>-2.5577909999999999E-2</v>
      </c>
      <c r="Q55">
        <v>2.5577909999999999E-2</v>
      </c>
      <c r="R55">
        <v>1.3799699999999999E-3</v>
      </c>
      <c r="S55">
        <v>-2</v>
      </c>
      <c r="T55">
        <v>0</v>
      </c>
      <c r="U55">
        <v>2</v>
      </c>
      <c r="V55">
        <v>1.328241E-2</v>
      </c>
      <c r="W55" s="1">
        <v>2.1858800000000001E-2</v>
      </c>
      <c r="X55" s="1">
        <v>0</v>
      </c>
      <c r="Y55" s="8" t="s">
        <v>636</v>
      </c>
      <c r="Z55" s="8" t="s">
        <v>637</v>
      </c>
      <c r="AA55" s="8" t="s">
        <v>638</v>
      </c>
    </row>
    <row r="56" spans="1:27" x14ac:dyDescent="0.25">
      <c r="A56">
        <v>1</v>
      </c>
      <c r="B56">
        <v>0.27500000000000002</v>
      </c>
      <c r="C56">
        <v>55</v>
      </c>
      <c r="D56">
        <v>-0.33029999999999998</v>
      </c>
      <c r="E56">
        <v>0.78249999999999997</v>
      </c>
      <c r="F56">
        <v>0.12302166</v>
      </c>
      <c r="G56">
        <v>0.84940722999999996</v>
      </c>
      <c r="H56">
        <v>1</v>
      </c>
      <c r="I56">
        <v>0</v>
      </c>
      <c r="J56">
        <v>1.9702</v>
      </c>
      <c r="K56" s="8" t="s">
        <v>639</v>
      </c>
      <c r="L56" s="8" t="s">
        <v>248</v>
      </c>
      <c r="M56">
        <v>0</v>
      </c>
      <c r="N56">
        <v>0</v>
      </c>
      <c r="O56">
        <v>0.15059276999999999</v>
      </c>
      <c r="P56">
        <v>-2.415525E-2</v>
      </c>
      <c r="Q56">
        <v>2.415525E-2</v>
      </c>
      <c r="R56">
        <v>1.4226600000000001E-3</v>
      </c>
      <c r="S56">
        <v>-2</v>
      </c>
      <c r="T56">
        <v>0</v>
      </c>
      <c r="U56">
        <v>2</v>
      </c>
      <c r="V56">
        <v>1.2461420000000001E-2</v>
      </c>
      <c r="W56" s="1">
        <v>2.0692729999999999E-2</v>
      </c>
      <c r="X56" s="1">
        <v>0</v>
      </c>
      <c r="Y56" s="8" t="s">
        <v>640</v>
      </c>
      <c r="Z56" s="8" t="s">
        <v>641</v>
      </c>
      <c r="AA56" s="8" t="s">
        <v>642</v>
      </c>
    </row>
    <row r="57" spans="1:27" x14ac:dyDescent="0.25">
      <c r="A57">
        <v>1</v>
      </c>
      <c r="B57">
        <v>0.28000000000000003</v>
      </c>
      <c r="C57">
        <v>56</v>
      </c>
      <c r="D57">
        <v>-0.31790000000000002</v>
      </c>
      <c r="E57">
        <v>0.80320000000000003</v>
      </c>
      <c r="F57">
        <v>0.11560579999999999</v>
      </c>
      <c r="G57">
        <v>0.86384532000000003</v>
      </c>
      <c r="H57">
        <v>1</v>
      </c>
      <c r="I57">
        <v>0</v>
      </c>
      <c r="J57">
        <v>1.9476</v>
      </c>
      <c r="K57" s="8" t="s">
        <v>643</v>
      </c>
      <c r="L57" s="8" t="s">
        <v>253</v>
      </c>
      <c r="M57">
        <v>0</v>
      </c>
      <c r="N57">
        <v>0</v>
      </c>
      <c r="O57">
        <v>0.13615468</v>
      </c>
      <c r="P57">
        <v>-2.2699150000000001E-2</v>
      </c>
      <c r="Q57">
        <v>2.2699150000000001E-2</v>
      </c>
      <c r="R57">
        <v>1.4561000000000001E-3</v>
      </c>
      <c r="S57">
        <v>-2</v>
      </c>
      <c r="T57">
        <v>0</v>
      </c>
      <c r="U57">
        <v>2</v>
      </c>
      <c r="V57">
        <v>1.164306E-2</v>
      </c>
      <c r="W57" s="1">
        <v>1.9485639999999999E-2</v>
      </c>
      <c r="X57" s="1">
        <v>0</v>
      </c>
      <c r="Y57" s="8" t="s">
        <v>644</v>
      </c>
      <c r="Z57" s="8" t="s">
        <v>645</v>
      </c>
      <c r="AA57" s="8" t="s">
        <v>646</v>
      </c>
    </row>
    <row r="58" spans="1:27" x14ac:dyDescent="0.25">
      <c r="A58">
        <v>1</v>
      </c>
      <c r="B58">
        <v>0.28499999999999998</v>
      </c>
      <c r="C58">
        <v>57</v>
      </c>
      <c r="D58">
        <v>-0.30620000000000003</v>
      </c>
      <c r="E58">
        <v>0.82269999999999999</v>
      </c>
      <c r="F58">
        <v>0.10806602999999999</v>
      </c>
      <c r="G58">
        <v>0.87786372000000001</v>
      </c>
      <c r="H58">
        <v>1</v>
      </c>
      <c r="I58">
        <v>0</v>
      </c>
      <c r="J58">
        <v>1.9271</v>
      </c>
      <c r="K58" s="8" t="s">
        <v>647</v>
      </c>
      <c r="L58" s="8" t="s">
        <v>258</v>
      </c>
      <c r="M58">
        <v>0</v>
      </c>
      <c r="N58">
        <v>0</v>
      </c>
      <c r="O58">
        <v>0.12213628</v>
      </c>
      <c r="P58">
        <v>-2.1218710000000002E-2</v>
      </c>
      <c r="Q58">
        <v>2.1218710000000002E-2</v>
      </c>
      <c r="R58">
        <v>1.48043E-3</v>
      </c>
      <c r="S58">
        <v>-2</v>
      </c>
      <c r="T58">
        <v>0</v>
      </c>
      <c r="U58">
        <v>2</v>
      </c>
      <c r="V58">
        <v>1.082987E-2</v>
      </c>
      <c r="W58" s="1">
        <v>1.824686E-2</v>
      </c>
      <c r="X58" s="1">
        <v>0</v>
      </c>
      <c r="Y58" s="8" t="s">
        <v>648</v>
      </c>
      <c r="Z58" s="8" t="s">
        <v>649</v>
      </c>
      <c r="AA58" s="8" t="s">
        <v>650</v>
      </c>
    </row>
    <row r="59" spans="1:27" x14ac:dyDescent="0.25">
      <c r="A59">
        <v>1</v>
      </c>
      <c r="B59">
        <v>0.28999999999999998</v>
      </c>
      <c r="C59">
        <v>58</v>
      </c>
      <c r="D59">
        <v>-0.2954</v>
      </c>
      <c r="E59">
        <v>0.84099999999999997</v>
      </c>
      <c r="F59">
        <v>0.10044788</v>
      </c>
      <c r="G59">
        <v>0.89133938000000001</v>
      </c>
      <c r="H59">
        <v>1</v>
      </c>
      <c r="I59">
        <v>0</v>
      </c>
      <c r="J59">
        <v>1.9086000000000001</v>
      </c>
      <c r="K59" s="8" t="s">
        <v>651</v>
      </c>
      <c r="L59" s="8" t="s">
        <v>263</v>
      </c>
      <c r="M59">
        <v>0</v>
      </c>
      <c r="N59">
        <v>0</v>
      </c>
      <c r="O59">
        <v>0.10866062</v>
      </c>
      <c r="P59">
        <v>-1.9722900000000002E-2</v>
      </c>
      <c r="Q59">
        <v>1.9722900000000002E-2</v>
      </c>
      <c r="R59">
        <v>1.4958199999999999E-3</v>
      </c>
      <c r="S59">
        <v>-2</v>
      </c>
      <c r="T59">
        <v>0</v>
      </c>
      <c r="U59">
        <v>2</v>
      </c>
      <c r="V59">
        <v>1.002422E-2</v>
      </c>
      <c r="W59" s="1">
        <v>1.6985509999999999E-2</v>
      </c>
      <c r="X59" s="1">
        <v>0</v>
      </c>
      <c r="Y59" s="8" t="s">
        <v>652</v>
      </c>
      <c r="Z59" s="8" t="s">
        <v>653</v>
      </c>
      <c r="AA59" s="8" t="s">
        <v>654</v>
      </c>
    </row>
    <row r="60" spans="1:27" x14ac:dyDescent="0.25">
      <c r="A60">
        <v>1</v>
      </c>
      <c r="B60">
        <v>0.29499999999999998</v>
      </c>
      <c r="C60">
        <v>59</v>
      </c>
      <c r="D60">
        <v>-0.28539999999999999</v>
      </c>
      <c r="E60">
        <v>0.8579</v>
      </c>
      <c r="F60">
        <v>9.2795909999999995E-2</v>
      </c>
      <c r="G60">
        <v>0.90416856999999995</v>
      </c>
      <c r="H60">
        <v>1</v>
      </c>
      <c r="I60">
        <v>0</v>
      </c>
      <c r="J60">
        <v>1.8918999999999999</v>
      </c>
      <c r="K60" s="8" t="s">
        <v>655</v>
      </c>
      <c r="L60" s="8" t="s">
        <v>268</v>
      </c>
      <c r="M60">
        <v>0</v>
      </c>
      <c r="N60">
        <v>0</v>
      </c>
      <c r="O60">
        <v>9.5831429999999995E-2</v>
      </c>
      <c r="P60">
        <v>-1.8220429999999999E-2</v>
      </c>
      <c r="Q60">
        <v>1.8220429999999999E-2</v>
      </c>
      <c r="R60">
        <v>1.50246E-3</v>
      </c>
      <c r="S60">
        <v>-2</v>
      </c>
      <c r="T60">
        <v>0</v>
      </c>
      <c r="U60">
        <v>2</v>
      </c>
      <c r="V60">
        <v>9.2284099999999994E-3</v>
      </c>
      <c r="W60" s="1">
        <v>1.571053E-2</v>
      </c>
      <c r="X60" s="1">
        <v>0</v>
      </c>
      <c r="Y60" s="8" t="s">
        <v>656</v>
      </c>
      <c r="Z60" s="8" t="s">
        <v>657</v>
      </c>
      <c r="AA60" s="8" t="s">
        <v>658</v>
      </c>
    </row>
    <row r="61" spans="1:27" x14ac:dyDescent="0.25">
      <c r="A61">
        <v>1</v>
      </c>
      <c r="B61">
        <v>0.3</v>
      </c>
      <c r="C61">
        <v>60</v>
      </c>
      <c r="D61">
        <v>-0.2762</v>
      </c>
      <c r="E61">
        <v>0.87370000000000003</v>
      </c>
      <c r="F61">
        <v>8.5153629999999994E-2</v>
      </c>
      <c r="G61">
        <v>0.91626587999999998</v>
      </c>
      <c r="H61">
        <v>1</v>
      </c>
      <c r="I61">
        <v>0</v>
      </c>
      <c r="J61">
        <v>1.8769</v>
      </c>
      <c r="K61" s="8" t="s">
        <v>659</v>
      </c>
      <c r="L61" s="8" t="s">
        <v>273</v>
      </c>
      <c r="M61">
        <v>0</v>
      </c>
      <c r="N61">
        <v>0</v>
      </c>
      <c r="O61">
        <v>8.3734119999999995E-2</v>
      </c>
      <c r="P61">
        <v>-1.6719879999999999E-2</v>
      </c>
      <c r="Q61">
        <v>1.6719879999999999E-2</v>
      </c>
      <c r="R61">
        <v>1.50056E-3</v>
      </c>
      <c r="S61">
        <v>-2</v>
      </c>
      <c r="T61">
        <v>0</v>
      </c>
      <c r="U61">
        <v>2</v>
      </c>
      <c r="V61">
        <v>8.4446999999999994E-3</v>
      </c>
      <c r="W61" s="1">
        <v>1.443057E-2</v>
      </c>
      <c r="X61" s="1">
        <v>0</v>
      </c>
      <c r="Y61" s="8" t="s">
        <v>660</v>
      </c>
      <c r="Z61" s="8" t="s">
        <v>661</v>
      </c>
      <c r="AA61" s="8" t="s">
        <v>662</v>
      </c>
    </row>
    <row r="62" spans="1:27" x14ac:dyDescent="0.25">
      <c r="A62">
        <v>1</v>
      </c>
      <c r="B62">
        <v>0.30499999999999999</v>
      </c>
      <c r="C62">
        <v>61</v>
      </c>
      <c r="D62">
        <v>-0.26769999999999999</v>
      </c>
      <c r="E62">
        <v>0.8881</v>
      </c>
      <c r="F62">
        <v>7.7563450000000006E-2</v>
      </c>
      <c r="G62">
        <v>0.92756316000000005</v>
      </c>
      <c r="H62">
        <v>1</v>
      </c>
      <c r="I62">
        <v>0</v>
      </c>
      <c r="J62">
        <v>1.8635999999999999</v>
      </c>
      <c r="K62" s="8" t="s">
        <v>663</v>
      </c>
      <c r="L62" s="8" t="s">
        <v>278</v>
      </c>
      <c r="M62">
        <v>0</v>
      </c>
      <c r="N62">
        <v>0</v>
      </c>
      <c r="O62">
        <v>7.2436840000000002E-2</v>
      </c>
      <c r="P62">
        <v>-1.522955E-2</v>
      </c>
      <c r="Q62">
        <v>1.522955E-2</v>
      </c>
      <c r="R62">
        <v>1.49033E-3</v>
      </c>
      <c r="S62">
        <v>-2</v>
      </c>
      <c r="T62">
        <v>0</v>
      </c>
      <c r="U62">
        <v>2</v>
      </c>
      <c r="V62">
        <v>7.6753100000000003E-3</v>
      </c>
      <c r="W62" s="1">
        <v>1.3154040000000001E-2</v>
      </c>
      <c r="X62" s="1">
        <v>0</v>
      </c>
      <c r="Y62" s="8" t="s">
        <v>664</v>
      </c>
      <c r="Z62" s="8" t="s">
        <v>665</v>
      </c>
      <c r="AA62" s="8" t="s">
        <v>666</v>
      </c>
    </row>
    <row r="63" spans="1:27" x14ac:dyDescent="0.25">
      <c r="A63">
        <v>1</v>
      </c>
      <c r="B63">
        <v>0.31</v>
      </c>
      <c r="C63">
        <v>62</v>
      </c>
      <c r="D63">
        <v>-0.26</v>
      </c>
      <c r="E63">
        <v>0.9012</v>
      </c>
      <c r="F63">
        <v>7.0066729999999994E-2</v>
      </c>
      <c r="G63">
        <v>0.93800841000000001</v>
      </c>
      <c r="H63">
        <v>1</v>
      </c>
      <c r="I63">
        <v>0</v>
      </c>
      <c r="J63">
        <v>1.8516999999999999</v>
      </c>
      <c r="K63" s="8" t="s">
        <v>667</v>
      </c>
      <c r="L63" s="8" t="s">
        <v>283</v>
      </c>
      <c r="M63">
        <v>0</v>
      </c>
      <c r="N63">
        <v>0</v>
      </c>
      <c r="O63">
        <v>6.1991589999999999E-2</v>
      </c>
      <c r="P63">
        <v>-1.375757E-2</v>
      </c>
      <c r="Q63">
        <v>1.375757E-2</v>
      </c>
      <c r="R63">
        <v>1.4719799999999999E-3</v>
      </c>
      <c r="S63">
        <v>-2</v>
      </c>
      <c r="T63">
        <v>0</v>
      </c>
      <c r="U63">
        <v>2</v>
      </c>
      <c r="V63">
        <v>6.9224999999999998E-3</v>
      </c>
      <c r="W63" s="1">
        <v>1.188906E-2</v>
      </c>
      <c r="X63" s="1">
        <v>0</v>
      </c>
      <c r="Y63" s="8" t="s">
        <v>668</v>
      </c>
      <c r="Z63" s="8" t="s">
        <v>669</v>
      </c>
      <c r="AA63" s="8" t="s">
        <v>670</v>
      </c>
    </row>
    <row r="64" spans="1:27" x14ac:dyDescent="0.25">
      <c r="A64">
        <v>1</v>
      </c>
      <c r="B64">
        <v>0.315</v>
      </c>
      <c r="C64">
        <v>63</v>
      </c>
      <c r="D64">
        <v>-0.25309999999999999</v>
      </c>
      <c r="E64">
        <v>0.91310000000000002</v>
      </c>
      <c r="F64">
        <v>6.2703789999999995E-2</v>
      </c>
      <c r="G64">
        <v>0.94756463999999996</v>
      </c>
      <c r="H64">
        <v>1</v>
      </c>
      <c r="I64">
        <v>0</v>
      </c>
      <c r="J64">
        <v>1.8411999999999999</v>
      </c>
      <c r="K64" s="8" t="s">
        <v>671</v>
      </c>
      <c r="L64" s="8" t="s">
        <v>288</v>
      </c>
      <c r="M64">
        <v>0</v>
      </c>
      <c r="N64">
        <v>0</v>
      </c>
      <c r="O64">
        <v>5.243536E-2</v>
      </c>
      <c r="P64">
        <v>-1.2311860000000001E-2</v>
      </c>
      <c r="Q64">
        <v>1.2311860000000001E-2</v>
      </c>
      <c r="R64">
        <v>1.44571E-3</v>
      </c>
      <c r="S64">
        <v>-2</v>
      </c>
      <c r="T64">
        <v>0</v>
      </c>
      <c r="U64">
        <v>2</v>
      </c>
      <c r="V64">
        <v>6.1885899999999999E-3</v>
      </c>
      <c r="W64" s="1">
        <v>1.064346E-2</v>
      </c>
      <c r="X64" s="1">
        <v>0</v>
      </c>
      <c r="Y64" s="8" t="s">
        <v>672</v>
      </c>
      <c r="Z64" s="8" t="s">
        <v>673</v>
      </c>
      <c r="AA64" s="8" t="s">
        <v>674</v>
      </c>
    </row>
    <row r="65" spans="1:27" x14ac:dyDescent="0.25">
      <c r="A65">
        <v>1</v>
      </c>
      <c r="B65">
        <v>0.32</v>
      </c>
      <c r="C65">
        <v>64</v>
      </c>
      <c r="D65">
        <v>-0.24690000000000001</v>
      </c>
      <c r="E65">
        <v>0.92379999999999995</v>
      </c>
      <c r="F65">
        <v>5.5514069999999999E-2</v>
      </c>
      <c r="G65">
        <v>0.95620881000000002</v>
      </c>
      <c r="H65">
        <v>1</v>
      </c>
      <c r="I65">
        <v>0</v>
      </c>
      <c r="J65">
        <v>1.8320000000000001</v>
      </c>
      <c r="K65" s="8" t="s">
        <v>675</v>
      </c>
      <c r="L65" s="8" t="s">
        <v>293</v>
      </c>
      <c r="M65">
        <v>0</v>
      </c>
      <c r="N65">
        <v>0</v>
      </c>
      <c r="O65">
        <v>4.3791190000000001E-2</v>
      </c>
      <c r="P65">
        <v>-1.0900160000000001E-2</v>
      </c>
      <c r="Q65">
        <v>1.0900160000000001E-2</v>
      </c>
      <c r="R65">
        <v>1.4117000000000001E-3</v>
      </c>
      <c r="S65">
        <v>-2</v>
      </c>
      <c r="T65">
        <v>0</v>
      </c>
      <c r="U65">
        <v>2</v>
      </c>
      <c r="V65">
        <v>5.4759800000000001E-3</v>
      </c>
      <c r="W65" s="1">
        <v>9.4248200000000004E-3</v>
      </c>
      <c r="X65" s="1">
        <v>0</v>
      </c>
      <c r="Y65" s="8" t="s">
        <v>676</v>
      </c>
      <c r="Z65" s="8" t="s">
        <v>677</v>
      </c>
      <c r="AA65" s="8" t="s">
        <v>678</v>
      </c>
    </row>
    <row r="66" spans="1:27" x14ac:dyDescent="0.25">
      <c r="A66">
        <v>1</v>
      </c>
      <c r="B66">
        <v>0.32500000000000001</v>
      </c>
      <c r="C66">
        <v>65</v>
      </c>
      <c r="D66">
        <v>-0.2414</v>
      </c>
      <c r="E66">
        <v>0.93320000000000003</v>
      </c>
      <c r="F66">
        <v>4.8536320000000001E-2</v>
      </c>
      <c r="G66">
        <v>0.96393083000000002</v>
      </c>
      <c r="H66">
        <v>1</v>
      </c>
      <c r="I66">
        <v>0</v>
      </c>
      <c r="J66">
        <v>1.8240000000000001</v>
      </c>
      <c r="K66" s="8" t="s">
        <v>679</v>
      </c>
      <c r="L66" s="8" t="s">
        <v>298</v>
      </c>
      <c r="M66">
        <v>0</v>
      </c>
      <c r="N66">
        <v>0</v>
      </c>
      <c r="O66">
        <v>3.6069169999999998E-2</v>
      </c>
      <c r="P66">
        <v>-9.5300899999999997E-3</v>
      </c>
      <c r="Q66">
        <v>9.5300899999999997E-3</v>
      </c>
      <c r="R66">
        <v>1.3700800000000001E-3</v>
      </c>
      <c r="S66">
        <v>-2</v>
      </c>
      <c r="T66">
        <v>0</v>
      </c>
      <c r="U66">
        <v>2</v>
      </c>
      <c r="V66">
        <v>4.7871800000000003E-3</v>
      </c>
      <c r="W66" s="1">
        <v>8.2404799999999997E-3</v>
      </c>
      <c r="X66" s="1">
        <v>0</v>
      </c>
      <c r="Y66" s="8" t="s">
        <v>680</v>
      </c>
      <c r="Z66" s="8" t="s">
        <v>681</v>
      </c>
      <c r="AA66" s="8" t="s">
        <v>682</v>
      </c>
    </row>
    <row r="67" spans="1:27" x14ac:dyDescent="0.25">
      <c r="A67">
        <v>1</v>
      </c>
      <c r="B67">
        <v>0.33</v>
      </c>
      <c r="C67">
        <v>66</v>
      </c>
      <c r="D67">
        <v>-0.23669999999999999</v>
      </c>
      <c r="E67">
        <v>0.94140000000000001</v>
      </c>
      <c r="F67">
        <v>4.1808940000000003E-2</v>
      </c>
      <c r="G67">
        <v>0.97073261</v>
      </c>
      <c r="H67">
        <v>1</v>
      </c>
      <c r="I67">
        <v>0</v>
      </c>
      <c r="J67">
        <v>1.8170999999999999</v>
      </c>
      <c r="K67" s="8" t="s">
        <v>683</v>
      </c>
      <c r="L67" s="8" t="s">
        <v>303</v>
      </c>
      <c r="M67">
        <v>0</v>
      </c>
      <c r="N67">
        <v>0</v>
      </c>
      <c r="O67">
        <v>2.9267390000000001E-2</v>
      </c>
      <c r="P67">
        <v>-8.20917E-3</v>
      </c>
      <c r="Q67">
        <v>8.20917E-3</v>
      </c>
      <c r="R67">
        <v>1.32092E-3</v>
      </c>
      <c r="S67">
        <v>-2</v>
      </c>
      <c r="T67">
        <v>0</v>
      </c>
      <c r="U67">
        <v>2</v>
      </c>
      <c r="V67">
        <v>4.1248600000000002E-3</v>
      </c>
      <c r="W67" s="1">
        <v>7.0975999999999999E-3</v>
      </c>
      <c r="X67" s="1">
        <v>0</v>
      </c>
      <c r="Y67" s="8" t="s">
        <v>684</v>
      </c>
      <c r="Z67" s="8" t="s">
        <v>685</v>
      </c>
      <c r="AA67" s="8" t="s">
        <v>686</v>
      </c>
    </row>
    <row r="68" spans="1:27" x14ac:dyDescent="0.25">
      <c r="A68">
        <v>1</v>
      </c>
      <c r="B68">
        <v>0.33500000000000002</v>
      </c>
      <c r="C68">
        <v>67</v>
      </c>
      <c r="D68">
        <v>-0.23250000000000001</v>
      </c>
      <c r="E68">
        <v>0.94850000000000001</v>
      </c>
      <c r="F68">
        <v>3.537038E-2</v>
      </c>
      <c r="G68">
        <v>0.97662724000000001</v>
      </c>
      <c r="H68">
        <v>1</v>
      </c>
      <c r="I68">
        <v>0</v>
      </c>
      <c r="J68">
        <v>1.8111999999999999</v>
      </c>
      <c r="K68" s="8" t="s">
        <v>687</v>
      </c>
      <c r="L68" s="8" t="s">
        <v>308</v>
      </c>
      <c r="M68">
        <v>0</v>
      </c>
      <c r="N68">
        <v>0</v>
      </c>
      <c r="O68">
        <v>2.3372759999999999E-2</v>
      </c>
      <c r="P68">
        <v>-6.94496E-3</v>
      </c>
      <c r="Q68">
        <v>6.94496E-3</v>
      </c>
      <c r="R68">
        <v>1.26421E-3</v>
      </c>
      <c r="S68">
        <v>-2</v>
      </c>
      <c r="T68">
        <v>0</v>
      </c>
      <c r="U68">
        <v>2</v>
      </c>
      <c r="V68">
        <v>3.4918900000000001E-3</v>
      </c>
      <c r="W68" s="1">
        <v>6.0032599999999998E-3</v>
      </c>
      <c r="X68" s="1">
        <v>0</v>
      </c>
      <c r="Y68" s="8" t="s">
        <v>688</v>
      </c>
      <c r="Z68" s="8" t="s">
        <v>689</v>
      </c>
      <c r="AA68" s="8" t="s">
        <v>690</v>
      </c>
    </row>
    <row r="69" spans="1:27" x14ac:dyDescent="0.25">
      <c r="A69">
        <v>1</v>
      </c>
      <c r="B69">
        <v>0.34</v>
      </c>
      <c r="C69">
        <v>68</v>
      </c>
      <c r="D69">
        <v>-0.22900000000000001</v>
      </c>
      <c r="E69">
        <v>0.95450000000000002</v>
      </c>
      <c r="F69">
        <v>2.9259899999999998E-2</v>
      </c>
      <c r="G69">
        <v>0.98163825999999998</v>
      </c>
      <c r="H69">
        <v>1</v>
      </c>
      <c r="I69">
        <v>0</v>
      </c>
      <c r="J69">
        <v>1.8063</v>
      </c>
      <c r="K69" s="8" t="s">
        <v>691</v>
      </c>
      <c r="L69" s="8" t="s">
        <v>313</v>
      </c>
      <c r="M69">
        <v>0</v>
      </c>
      <c r="N69">
        <v>0</v>
      </c>
      <c r="O69">
        <v>1.8361740000000001E-2</v>
      </c>
      <c r="P69">
        <v>-5.74517E-3</v>
      </c>
      <c r="Q69">
        <v>5.74517E-3</v>
      </c>
      <c r="R69">
        <v>1.1997900000000001E-3</v>
      </c>
      <c r="S69">
        <v>-2</v>
      </c>
      <c r="T69">
        <v>0</v>
      </c>
      <c r="U69">
        <v>2</v>
      </c>
      <c r="V69">
        <v>2.8914000000000001E-3</v>
      </c>
      <c r="W69" s="1">
        <v>4.9645499999999999E-3</v>
      </c>
      <c r="X69" s="1">
        <v>0</v>
      </c>
      <c r="Y69" s="8" t="s">
        <v>692</v>
      </c>
      <c r="Z69" s="8" t="s">
        <v>693</v>
      </c>
      <c r="AA69" s="8" t="s">
        <v>694</v>
      </c>
    </row>
    <row r="70" spans="1:27" x14ac:dyDescent="0.25">
      <c r="A70">
        <v>1</v>
      </c>
      <c r="B70">
        <v>0.34499999999999997</v>
      </c>
      <c r="C70">
        <v>69</v>
      </c>
      <c r="D70">
        <v>-0.22620000000000001</v>
      </c>
      <c r="E70">
        <v>0.95950000000000002</v>
      </c>
      <c r="F70">
        <v>2.3518560000000001E-2</v>
      </c>
      <c r="G70">
        <v>0.98579912999999997</v>
      </c>
      <c r="H70">
        <v>1</v>
      </c>
      <c r="I70">
        <v>0</v>
      </c>
      <c r="J70">
        <v>1.8023</v>
      </c>
      <c r="K70" s="8" t="s">
        <v>695</v>
      </c>
      <c r="L70" s="8" t="s">
        <v>318</v>
      </c>
      <c r="M70">
        <v>0</v>
      </c>
      <c r="N70">
        <v>0</v>
      </c>
      <c r="O70">
        <v>1.4200870000000001E-2</v>
      </c>
      <c r="P70">
        <v>-4.6178599999999997E-3</v>
      </c>
      <c r="Q70">
        <v>4.6178599999999997E-3</v>
      </c>
      <c r="R70">
        <v>1.1273100000000001E-3</v>
      </c>
      <c r="S70">
        <v>-2</v>
      </c>
      <c r="T70">
        <v>0</v>
      </c>
      <c r="U70">
        <v>2</v>
      </c>
      <c r="V70">
        <v>2.3268999999999998E-3</v>
      </c>
      <c r="W70" s="1">
        <v>3.9887500000000001E-3</v>
      </c>
      <c r="X70" s="1">
        <v>0</v>
      </c>
      <c r="Y70" s="8" t="s">
        <v>696</v>
      </c>
      <c r="Z70" s="8" t="s">
        <v>697</v>
      </c>
      <c r="AA70" s="8" t="s">
        <v>698</v>
      </c>
    </row>
    <row r="71" spans="1:27" x14ac:dyDescent="0.25">
      <c r="A71">
        <v>1</v>
      </c>
      <c r="B71">
        <v>0.35</v>
      </c>
      <c r="C71">
        <v>70</v>
      </c>
      <c r="D71">
        <v>-0.2238</v>
      </c>
      <c r="E71">
        <v>0.96350000000000002</v>
      </c>
      <c r="F71">
        <v>1.8190870000000001E-2</v>
      </c>
      <c r="G71">
        <v>0.98915279</v>
      </c>
      <c r="H71">
        <v>1</v>
      </c>
      <c r="I71">
        <v>0</v>
      </c>
      <c r="J71">
        <v>1.7990999999999999</v>
      </c>
      <c r="K71" s="8" t="s">
        <v>699</v>
      </c>
      <c r="L71" s="8" t="s">
        <v>323</v>
      </c>
      <c r="M71">
        <v>0</v>
      </c>
      <c r="N71">
        <v>0</v>
      </c>
      <c r="O71">
        <v>1.0847209999999999E-2</v>
      </c>
      <c r="P71">
        <v>-3.5717700000000002E-3</v>
      </c>
      <c r="Q71">
        <v>3.5717700000000002E-3</v>
      </c>
      <c r="R71">
        <v>1.04609E-3</v>
      </c>
      <c r="S71">
        <v>-2</v>
      </c>
      <c r="T71">
        <v>0</v>
      </c>
      <c r="U71">
        <v>2</v>
      </c>
      <c r="V71">
        <v>1.8024E-3</v>
      </c>
      <c r="W71" s="1">
        <v>3.0836499999999998E-3</v>
      </c>
      <c r="X71" s="1">
        <v>0</v>
      </c>
      <c r="Y71" s="8" t="s">
        <v>700</v>
      </c>
      <c r="Z71" s="8" t="s">
        <v>701</v>
      </c>
      <c r="AA71" s="8" t="s">
        <v>702</v>
      </c>
    </row>
    <row r="72" spans="1:27" x14ac:dyDescent="0.25">
      <c r="A72">
        <v>1</v>
      </c>
      <c r="B72">
        <v>0.35499999999999998</v>
      </c>
      <c r="C72">
        <v>71</v>
      </c>
      <c r="D72">
        <v>-0.222</v>
      </c>
      <c r="E72">
        <v>0.96660000000000001</v>
      </c>
      <c r="F72">
        <v>1.3327479999999999E-2</v>
      </c>
      <c r="G72">
        <v>0.99175164000000005</v>
      </c>
      <c r="H72">
        <v>1</v>
      </c>
      <c r="I72">
        <v>0</v>
      </c>
      <c r="J72">
        <v>1.7966</v>
      </c>
      <c r="K72" s="8" t="s">
        <v>703</v>
      </c>
      <c r="L72" s="8" t="s">
        <v>328</v>
      </c>
      <c r="M72">
        <v>0</v>
      </c>
      <c r="N72">
        <v>0</v>
      </c>
      <c r="O72">
        <v>8.2483599999999997E-3</v>
      </c>
      <c r="P72">
        <v>-2.6168400000000001E-3</v>
      </c>
      <c r="Q72">
        <v>2.6168400000000001E-3</v>
      </c>
      <c r="R72">
        <v>9.5492999999999999E-4</v>
      </c>
      <c r="S72">
        <v>-2</v>
      </c>
      <c r="T72">
        <v>0</v>
      </c>
      <c r="U72">
        <v>2</v>
      </c>
      <c r="V72">
        <v>1.3226900000000001E-3</v>
      </c>
      <c r="W72" s="1">
        <v>2.2579499999999999E-3</v>
      </c>
      <c r="X72" s="1">
        <v>0</v>
      </c>
      <c r="Y72" s="8" t="s">
        <v>704</v>
      </c>
      <c r="Z72" s="8" t="s">
        <v>705</v>
      </c>
      <c r="AA72" s="8" t="s">
        <v>706</v>
      </c>
    </row>
    <row r="73" spans="1:27" x14ac:dyDescent="0.25">
      <c r="A73">
        <v>1</v>
      </c>
      <c r="B73">
        <v>0.36</v>
      </c>
      <c r="C73">
        <v>72</v>
      </c>
      <c r="D73">
        <v>-0.22070000000000001</v>
      </c>
      <c r="E73">
        <v>0.96879999999999999</v>
      </c>
      <c r="F73">
        <v>8.9899799999999998E-3</v>
      </c>
      <c r="G73">
        <v>0.99365780000000004</v>
      </c>
      <c r="H73">
        <v>1</v>
      </c>
      <c r="I73">
        <v>0</v>
      </c>
      <c r="J73">
        <v>1.7948</v>
      </c>
      <c r="K73" s="8" t="s">
        <v>707</v>
      </c>
      <c r="L73" s="8" t="s">
        <v>333</v>
      </c>
      <c r="M73">
        <v>0</v>
      </c>
      <c r="N73">
        <v>0</v>
      </c>
      <c r="O73">
        <v>6.3422000000000001E-3</v>
      </c>
      <c r="P73">
        <v>-1.7651800000000001E-3</v>
      </c>
      <c r="Q73">
        <v>1.7651800000000001E-3</v>
      </c>
      <c r="R73">
        <v>8.5167000000000001E-4</v>
      </c>
      <c r="S73">
        <v>-2</v>
      </c>
      <c r="T73">
        <v>0</v>
      </c>
      <c r="U73">
        <v>2</v>
      </c>
      <c r="V73">
        <v>8.9382000000000003E-4</v>
      </c>
      <c r="W73" s="1">
        <v>1.5221499999999999E-3</v>
      </c>
      <c r="X73" s="1">
        <v>0</v>
      </c>
      <c r="Y73" s="8" t="s">
        <v>708</v>
      </c>
      <c r="Z73" s="8" t="s">
        <v>709</v>
      </c>
      <c r="AA73" s="8" t="s">
        <v>710</v>
      </c>
    </row>
    <row r="74" spans="1:27" x14ac:dyDescent="0.25">
      <c r="A74">
        <v>1</v>
      </c>
      <c r="B74">
        <v>0.36499999999999999</v>
      </c>
      <c r="C74">
        <v>73</v>
      </c>
      <c r="D74">
        <v>-0.2198</v>
      </c>
      <c r="E74">
        <v>0.97040000000000004</v>
      </c>
      <c r="F74">
        <v>5.2607499999999998E-3</v>
      </c>
      <c r="G74">
        <v>0.99494413000000004</v>
      </c>
      <c r="H74">
        <v>1</v>
      </c>
      <c r="I74">
        <v>0</v>
      </c>
      <c r="J74">
        <v>1.7936000000000001</v>
      </c>
      <c r="K74" s="8" t="s">
        <v>711</v>
      </c>
      <c r="L74" s="8" t="s">
        <v>338</v>
      </c>
      <c r="M74">
        <v>0</v>
      </c>
      <c r="N74">
        <v>0</v>
      </c>
      <c r="O74">
        <v>5.0558699999999996E-3</v>
      </c>
      <c r="P74">
        <v>-1.0329499999999999E-3</v>
      </c>
      <c r="Q74">
        <v>1.0329499999999999E-3</v>
      </c>
      <c r="R74">
        <v>7.3222999999999995E-4</v>
      </c>
      <c r="S74">
        <v>-2</v>
      </c>
      <c r="T74">
        <v>0</v>
      </c>
      <c r="U74">
        <v>2</v>
      </c>
      <c r="V74">
        <v>5.2404999999999997E-4</v>
      </c>
      <c r="W74" s="1">
        <v>8.9013999999999999E-4</v>
      </c>
      <c r="X74" s="1">
        <v>0</v>
      </c>
      <c r="Y74" s="8" t="s">
        <v>712</v>
      </c>
      <c r="Z74" s="8" t="s">
        <v>713</v>
      </c>
      <c r="AA74" s="8" t="s">
        <v>714</v>
      </c>
    </row>
    <row r="75" spans="1:27" x14ac:dyDescent="0.25">
      <c r="A75">
        <v>1</v>
      </c>
      <c r="B75">
        <v>0.37</v>
      </c>
      <c r="C75">
        <v>74</v>
      </c>
      <c r="D75">
        <v>-0.21929999999999999</v>
      </c>
      <c r="E75">
        <v>0.97130000000000005</v>
      </c>
      <c r="F75">
        <v>2.2675199999999999E-3</v>
      </c>
      <c r="G75">
        <v>0.99569675000000002</v>
      </c>
      <c r="H75">
        <v>1</v>
      </c>
      <c r="I75">
        <v>0</v>
      </c>
      <c r="J75">
        <v>1.7927999999999999</v>
      </c>
      <c r="K75" s="8" t="s">
        <v>715</v>
      </c>
      <c r="L75" s="8" t="s">
        <v>343</v>
      </c>
      <c r="M75">
        <v>0</v>
      </c>
      <c r="N75">
        <v>0</v>
      </c>
      <c r="O75">
        <v>4.3032499999999998E-3</v>
      </c>
      <c r="P75">
        <v>-4.4523000000000002E-4</v>
      </c>
      <c r="Q75">
        <v>4.4523000000000002E-4</v>
      </c>
      <c r="R75">
        <v>5.8772000000000002E-4</v>
      </c>
      <c r="S75">
        <v>-2</v>
      </c>
      <c r="T75">
        <v>0</v>
      </c>
      <c r="U75">
        <v>2</v>
      </c>
      <c r="V75">
        <v>2.2633000000000001E-4</v>
      </c>
      <c r="W75" s="1">
        <v>3.8340999999999999E-4</v>
      </c>
      <c r="X75" s="1">
        <v>0</v>
      </c>
      <c r="Y75" s="8" t="s">
        <v>716</v>
      </c>
      <c r="Z75" s="8" t="s">
        <v>717</v>
      </c>
      <c r="AA75" s="8" t="s">
        <v>718</v>
      </c>
    </row>
    <row r="76" spans="1:27" x14ac:dyDescent="0.25">
      <c r="A76">
        <v>1</v>
      </c>
      <c r="B76">
        <v>0.375</v>
      </c>
      <c r="C76">
        <v>75</v>
      </c>
      <c r="D76">
        <v>-0.21909999999999999</v>
      </c>
      <c r="E76">
        <v>0.97160000000000002</v>
      </c>
      <c r="F76">
        <v>2.7961000000000001E-4</v>
      </c>
      <c r="G76">
        <v>0.99602095000000002</v>
      </c>
      <c r="H76">
        <v>1</v>
      </c>
      <c r="I76">
        <v>0</v>
      </c>
      <c r="J76">
        <v>1.7925</v>
      </c>
      <c r="K76" s="8" t="s">
        <v>719</v>
      </c>
      <c r="L76" s="8" t="s">
        <v>348</v>
      </c>
      <c r="M76">
        <v>0</v>
      </c>
      <c r="N76">
        <v>0</v>
      </c>
      <c r="O76">
        <v>3.9790499999999996E-3</v>
      </c>
      <c r="P76">
        <v>-5.49E-5</v>
      </c>
      <c r="Q76">
        <v>5.49E-5</v>
      </c>
      <c r="R76">
        <v>3.9032999999999998E-4</v>
      </c>
      <c r="S76">
        <v>-2</v>
      </c>
      <c r="T76">
        <v>0</v>
      </c>
      <c r="U76">
        <v>2</v>
      </c>
      <c r="V76">
        <v>2.7970000000000002E-5</v>
      </c>
      <c r="W76" s="1">
        <v>4.7240000000000002E-5</v>
      </c>
      <c r="X76" s="1">
        <v>0</v>
      </c>
      <c r="Y76" s="8" t="s">
        <v>720</v>
      </c>
      <c r="Z76" s="8" t="s">
        <v>721</v>
      </c>
      <c r="AA76" s="8" t="s">
        <v>722</v>
      </c>
    </row>
    <row r="77" spans="1:27" x14ac:dyDescent="0.25">
      <c r="A77">
        <v>1</v>
      </c>
      <c r="B77">
        <v>0.38</v>
      </c>
      <c r="C77">
        <v>76</v>
      </c>
      <c r="D77">
        <v>-0.219</v>
      </c>
      <c r="E77">
        <v>0.97170000000000001</v>
      </c>
      <c r="F77">
        <v>0</v>
      </c>
      <c r="G77">
        <v>0.99606088000000004</v>
      </c>
      <c r="H77">
        <v>1</v>
      </c>
      <c r="I77">
        <v>0</v>
      </c>
      <c r="J77">
        <v>1.7925</v>
      </c>
      <c r="K77" s="8" t="s">
        <v>42</v>
      </c>
      <c r="L77" s="8" t="s">
        <v>42</v>
      </c>
      <c r="M77">
        <v>0</v>
      </c>
      <c r="N77">
        <v>0</v>
      </c>
      <c r="O77">
        <v>3.9391199999999999E-3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 s="1">
        <v>0</v>
      </c>
      <c r="X77" s="1">
        <v>0</v>
      </c>
      <c r="Y77" s="8" t="s">
        <v>42</v>
      </c>
      <c r="Z77" s="8" t="s">
        <v>42</v>
      </c>
      <c r="AA77" s="8" t="s">
        <v>42</v>
      </c>
    </row>
    <row r="78" spans="1:27" x14ac:dyDescent="0.25">
      <c r="A78">
        <v>1</v>
      </c>
      <c r="B78">
        <v>0.38500000000000001</v>
      </c>
      <c r="C78">
        <v>77</v>
      </c>
      <c r="D78">
        <v>-0.219</v>
      </c>
      <c r="E78">
        <v>0.97170000000000001</v>
      </c>
      <c r="F78">
        <v>0</v>
      </c>
      <c r="G78">
        <v>0.99606088000000004</v>
      </c>
      <c r="H78">
        <v>1</v>
      </c>
      <c r="I78">
        <v>0</v>
      </c>
      <c r="J78">
        <v>1.7925</v>
      </c>
      <c r="K78" s="8" t="s">
        <v>42</v>
      </c>
      <c r="L78" s="8" t="s">
        <v>42</v>
      </c>
      <c r="M78">
        <v>0</v>
      </c>
      <c r="N78">
        <v>0</v>
      </c>
      <c r="O78">
        <v>3.9391199999999999E-3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s="1">
        <v>0</v>
      </c>
      <c r="X78" s="1">
        <v>0</v>
      </c>
      <c r="Y78" s="8" t="s">
        <v>42</v>
      </c>
      <c r="Z78" s="8" t="s">
        <v>42</v>
      </c>
      <c r="AA78" s="8" t="s">
        <v>42</v>
      </c>
    </row>
    <row r="79" spans="1:27" x14ac:dyDescent="0.25">
      <c r="A79">
        <v>1</v>
      </c>
      <c r="B79">
        <v>0.39</v>
      </c>
      <c r="C79">
        <v>78</v>
      </c>
      <c r="D79">
        <v>-0.219</v>
      </c>
      <c r="E79">
        <v>0.97170000000000001</v>
      </c>
      <c r="F79">
        <v>0</v>
      </c>
      <c r="G79">
        <v>0.99606088000000004</v>
      </c>
      <c r="H79">
        <v>1</v>
      </c>
      <c r="I79">
        <v>0</v>
      </c>
      <c r="J79">
        <v>1.7925</v>
      </c>
      <c r="K79" s="8" t="s">
        <v>42</v>
      </c>
      <c r="L79" s="8" t="s">
        <v>42</v>
      </c>
      <c r="M79">
        <v>0</v>
      </c>
      <c r="N79">
        <v>0</v>
      </c>
      <c r="O79">
        <v>3.9391199999999999E-3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s="1">
        <v>0</v>
      </c>
      <c r="X79" s="1">
        <v>0</v>
      </c>
      <c r="Y79" s="8" t="s">
        <v>42</v>
      </c>
      <c r="Z79" s="8" t="s">
        <v>42</v>
      </c>
      <c r="AA79" s="8" t="s">
        <v>42</v>
      </c>
    </row>
    <row r="80" spans="1:27" x14ac:dyDescent="0.25">
      <c r="A80">
        <v>1</v>
      </c>
      <c r="B80">
        <v>0.39500000000000002</v>
      </c>
      <c r="C80">
        <v>79</v>
      </c>
      <c r="D80">
        <v>-0.219</v>
      </c>
      <c r="E80">
        <v>0.97170000000000001</v>
      </c>
      <c r="F80">
        <v>0</v>
      </c>
      <c r="G80">
        <v>0.99606088000000004</v>
      </c>
      <c r="H80">
        <v>1</v>
      </c>
      <c r="I80">
        <v>0</v>
      </c>
      <c r="J80">
        <v>1.7925</v>
      </c>
      <c r="K80" s="8" t="s">
        <v>42</v>
      </c>
      <c r="L80" s="8" t="s">
        <v>42</v>
      </c>
      <c r="M80">
        <v>0</v>
      </c>
      <c r="N80">
        <v>0</v>
      </c>
      <c r="O80">
        <v>3.9391199999999999E-3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 s="1">
        <v>0</v>
      </c>
      <c r="X80" s="1">
        <v>0</v>
      </c>
      <c r="Y80" s="8" t="s">
        <v>42</v>
      </c>
      <c r="Z80" s="8" t="s">
        <v>42</v>
      </c>
      <c r="AA80" s="8" t="s">
        <v>42</v>
      </c>
    </row>
    <row r="81" spans="1:27" x14ac:dyDescent="0.25">
      <c r="A81">
        <v>1</v>
      </c>
      <c r="B81">
        <v>0.4</v>
      </c>
      <c r="C81">
        <v>80</v>
      </c>
      <c r="D81">
        <v>-0.219</v>
      </c>
      <c r="E81">
        <v>0.97170000000000001</v>
      </c>
      <c r="F81">
        <v>0</v>
      </c>
      <c r="G81">
        <v>0.99606088000000004</v>
      </c>
      <c r="H81">
        <v>1</v>
      </c>
      <c r="I81">
        <v>0</v>
      </c>
      <c r="J81">
        <v>1.7925</v>
      </c>
      <c r="K81" s="8" t="s">
        <v>42</v>
      </c>
      <c r="L81" s="8" t="s">
        <v>42</v>
      </c>
      <c r="M81">
        <v>0</v>
      </c>
      <c r="N81">
        <v>0</v>
      </c>
      <c r="O81">
        <v>3.9391199999999999E-3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s="1">
        <v>0</v>
      </c>
      <c r="X81" s="1">
        <v>0</v>
      </c>
      <c r="Y81" s="8" t="s">
        <v>42</v>
      </c>
      <c r="Z81" s="8" t="s">
        <v>42</v>
      </c>
      <c r="AA81" s="8" t="s">
        <v>42</v>
      </c>
    </row>
    <row r="82" spans="1:27" x14ac:dyDescent="0.25">
      <c r="A82">
        <v>1</v>
      </c>
      <c r="B82">
        <v>0.40500000000000003</v>
      </c>
      <c r="C82">
        <v>81</v>
      </c>
      <c r="D82">
        <v>-0.219</v>
      </c>
      <c r="E82">
        <v>0.97170000000000001</v>
      </c>
      <c r="F82">
        <v>0</v>
      </c>
      <c r="G82">
        <v>0.99606088000000004</v>
      </c>
      <c r="H82">
        <v>1</v>
      </c>
      <c r="I82">
        <v>0</v>
      </c>
      <c r="J82">
        <v>1.7925</v>
      </c>
      <c r="K82" s="8" t="s">
        <v>42</v>
      </c>
      <c r="L82" s="8" t="s">
        <v>42</v>
      </c>
      <c r="M82">
        <v>0</v>
      </c>
      <c r="N82">
        <v>0</v>
      </c>
      <c r="O82">
        <v>3.9391199999999999E-3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s="1">
        <v>0</v>
      </c>
      <c r="X82" s="1">
        <v>0</v>
      </c>
      <c r="Y82" s="8" t="s">
        <v>42</v>
      </c>
      <c r="Z82" s="8" t="s">
        <v>42</v>
      </c>
      <c r="AA82" s="8" t="s">
        <v>42</v>
      </c>
    </row>
    <row r="83" spans="1:27" x14ac:dyDescent="0.25">
      <c r="A83">
        <v>1</v>
      </c>
      <c r="B83">
        <v>0.41</v>
      </c>
      <c r="C83">
        <v>82</v>
      </c>
      <c r="D83">
        <v>-0.219</v>
      </c>
      <c r="E83">
        <v>0.97170000000000001</v>
      </c>
      <c r="F83">
        <v>0</v>
      </c>
      <c r="G83">
        <v>0.99606088000000004</v>
      </c>
      <c r="H83">
        <v>1</v>
      </c>
      <c r="I83">
        <v>0</v>
      </c>
      <c r="J83">
        <v>1.7925</v>
      </c>
      <c r="K83" s="8" t="s">
        <v>42</v>
      </c>
      <c r="L83" s="8" t="s">
        <v>42</v>
      </c>
      <c r="M83">
        <v>0</v>
      </c>
      <c r="N83">
        <v>0</v>
      </c>
      <c r="O83">
        <v>3.9391199999999999E-3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 s="1">
        <v>0</v>
      </c>
      <c r="X83" s="1">
        <v>0</v>
      </c>
      <c r="Y83" s="8" t="s">
        <v>42</v>
      </c>
      <c r="Z83" s="8" t="s">
        <v>42</v>
      </c>
      <c r="AA83" s="8" t="s">
        <v>42</v>
      </c>
    </row>
    <row r="84" spans="1:27" x14ac:dyDescent="0.25">
      <c r="A84">
        <v>1</v>
      </c>
      <c r="B84">
        <v>0.41499999999999998</v>
      </c>
      <c r="C84">
        <v>83</v>
      </c>
      <c r="D84">
        <v>-0.219</v>
      </c>
      <c r="E84">
        <v>0.97170000000000001</v>
      </c>
      <c r="F84">
        <v>0</v>
      </c>
      <c r="G84">
        <v>0.99606088000000004</v>
      </c>
      <c r="H84">
        <v>1</v>
      </c>
      <c r="I84">
        <v>0</v>
      </c>
      <c r="J84">
        <v>1.7925</v>
      </c>
      <c r="K84" s="8" t="s">
        <v>42</v>
      </c>
      <c r="L84" s="8" t="s">
        <v>42</v>
      </c>
      <c r="M84">
        <v>0</v>
      </c>
      <c r="N84">
        <v>0</v>
      </c>
      <c r="O84">
        <v>3.9391199999999999E-3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s="1">
        <v>0</v>
      </c>
      <c r="X84" s="1">
        <v>0</v>
      </c>
      <c r="Y84" s="8" t="s">
        <v>42</v>
      </c>
      <c r="Z84" s="8" t="s">
        <v>42</v>
      </c>
      <c r="AA84" s="8" t="s">
        <v>42</v>
      </c>
    </row>
    <row r="85" spans="1:27" x14ac:dyDescent="0.25">
      <c r="A85">
        <v>1</v>
      </c>
      <c r="B85">
        <v>0.42</v>
      </c>
      <c r="C85">
        <v>84</v>
      </c>
      <c r="D85">
        <v>-0.219</v>
      </c>
      <c r="E85">
        <v>0.97170000000000001</v>
      </c>
      <c r="F85">
        <v>0</v>
      </c>
      <c r="G85">
        <v>0.99606088000000004</v>
      </c>
      <c r="H85">
        <v>1</v>
      </c>
      <c r="I85">
        <v>0</v>
      </c>
      <c r="J85">
        <v>1.7925</v>
      </c>
      <c r="K85" s="8" t="s">
        <v>42</v>
      </c>
      <c r="L85" s="8" t="s">
        <v>42</v>
      </c>
      <c r="M85">
        <v>0</v>
      </c>
      <c r="N85">
        <v>0</v>
      </c>
      <c r="O85">
        <v>3.9391199999999999E-3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s="1">
        <v>0</v>
      </c>
      <c r="X85" s="1">
        <v>0</v>
      </c>
      <c r="Y85" s="8" t="s">
        <v>42</v>
      </c>
      <c r="Z85" s="8" t="s">
        <v>42</v>
      </c>
      <c r="AA85" s="8" t="s">
        <v>42</v>
      </c>
    </row>
    <row r="86" spans="1:27" x14ac:dyDescent="0.25">
      <c r="A86">
        <v>1</v>
      </c>
      <c r="B86">
        <v>0.42499999999999999</v>
      </c>
      <c r="C86">
        <v>85</v>
      </c>
      <c r="D86">
        <v>-0.219</v>
      </c>
      <c r="E86">
        <v>0.97170000000000001</v>
      </c>
      <c r="F86">
        <v>0</v>
      </c>
      <c r="G86">
        <v>0.99606088000000004</v>
      </c>
      <c r="H86">
        <v>1</v>
      </c>
      <c r="I86">
        <v>0</v>
      </c>
      <c r="J86">
        <v>1.7925</v>
      </c>
      <c r="K86" s="8" t="s">
        <v>42</v>
      </c>
      <c r="L86" s="8" t="s">
        <v>42</v>
      </c>
      <c r="M86">
        <v>0</v>
      </c>
      <c r="N86">
        <v>0</v>
      </c>
      <c r="O86">
        <v>3.9391199999999999E-3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s="1">
        <v>0</v>
      </c>
      <c r="X86" s="1">
        <v>0</v>
      </c>
      <c r="Y86" s="8" t="s">
        <v>42</v>
      </c>
      <c r="Z86" s="8" t="s">
        <v>42</v>
      </c>
      <c r="AA86" s="8" t="s">
        <v>42</v>
      </c>
    </row>
    <row r="87" spans="1:27" x14ac:dyDescent="0.25">
      <c r="A87">
        <v>1</v>
      </c>
      <c r="B87">
        <v>0.43</v>
      </c>
      <c r="C87">
        <v>86</v>
      </c>
      <c r="D87">
        <v>-0.219</v>
      </c>
      <c r="E87">
        <v>0.97170000000000001</v>
      </c>
      <c r="F87">
        <v>0</v>
      </c>
      <c r="G87">
        <v>0.99606088000000004</v>
      </c>
      <c r="H87">
        <v>1</v>
      </c>
      <c r="I87">
        <v>0</v>
      </c>
      <c r="J87">
        <v>1.7925</v>
      </c>
      <c r="K87" s="8" t="s">
        <v>42</v>
      </c>
      <c r="L87" s="8" t="s">
        <v>42</v>
      </c>
      <c r="M87">
        <v>0</v>
      </c>
      <c r="N87">
        <v>0</v>
      </c>
      <c r="O87">
        <v>3.9391199999999999E-3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s="1">
        <v>0</v>
      </c>
      <c r="X87" s="1">
        <v>0</v>
      </c>
      <c r="Y87" s="8" t="s">
        <v>42</v>
      </c>
      <c r="Z87" s="8" t="s">
        <v>42</v>
      </c>
      <c r="AA87" s="8" t="s">
        <v>42</v>
      </c>
    </row>
    <row r="88" spans="1:27" x14ac:dyDescent="0.25">
      <c r="A88">
        <v>1</v>
      </c>
      <c r="B88">
        <v>0.435</v>
      </c>
      <c r="C88">
        <v>87</v>
      </c>
      <c r="D88">
        <v>-0.219</v>
      </c>
      <c r="E88">
        <v>0.97170000000000001</v>
      </c>
      <c r="F88">
        <v>0</v>
      </c>
      <c r="G88">
        <v>0.99606088000000004</v>
      </c>
      <c r="H88">
        <v>1</v>
      </c>
      <c r="I88">
        <v>0</v>
      </c>
      <c r="J88">
        <v>1.7925</v>
      </c>
      <c r="K88" s="8" t="s">
        <v>42</v>
      </c>
      <c r="L88" s="8" t="s">
        <v>42</v>
      </c>
      <c r="M88">
        <v>0</v>
      </c>
      <c r="N88">
        <v>0</v>
      </c>
      <c r="O88">
        <v>3.9391199999999999E-3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s="1">
        <v>0</v>
      </c>
      <c r="X88" s="1">
        <v>0</v>
      </c>
      <c r="Y88" s="8" t="s">
        <v>42</v>
      </c>
      <c r="Z88" s="8" t="s">
        <v>42</v>
      </c>
      <c r="AA88" s="8" t="s">
        <v>42</v>
      </c>
    </row>
    <row r="89" spans="1:27" x14ac:dyDescent="0.25">
      <c r="A89">
        <v>1</v>
      </c>
      <c r="B89">
        <v>0.44</v>
      </c>
      <c r="C89">
        <v>88</v>
      </c>
      <c r="D89">
        <v>-0.219</v>
      </c>
      <c r="E89">
        <v>0.97170000000000001</v>
      </c>
      <c r="F89">
        <v>0</v>
      </c>
      <c r="G89">
        <v>0.99606088000000004</v>
      </c>
      <c r="H89">
        <v>1</v>
      </c>
      <c r="I89">
        <v>0</v>
      </c>
      <c r="J89">
        <v>1.7925</v>
      </c>
      <c r="K89" s="8" t="s">
        <v>42</v>
      </c>
      <c r="L89" s="8" t="s">
        <v>42</v>
      </c>
      <c r="M89">
        <v>0</v>
      </c>
      <c r="N89">
        <v>0</v>
      </c>
      <c r="O89">
        <v>3.9391199999999999E-3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 s="1">
        <v>0</v>
      </c>
      <c r="X89" s="1">
        <v>0</v>
      </c>
      <c r="Y89" s="8" t="s">
        <v>42</v>
      </c>
      <c r="Z89" s="8" t="s">
        <v>42</v>
      </c>
      <c r="AA89" s="8" t="s">
        <v>42</v>
      </c>
    </row>
    <row r="90" spans="1:27" x14ac:dyDescent="0.25">
      <c r="A90">
        <v>1</v>
      </c>
      <c r="B90">
        <v>0.44500000000000001</v>
      </c>
      <c r="C90">
        <v>89</v>
      </c>
      <c r="D90">
        <v>-0.219</v>
      </c>
      <c r="E90">
        <v>0.97170000000000001</v>
      </c>
      <c r="F90">
        <v>0</v>
      </c>
      <c r="G90">
        <v>0.99606088000000004</v>
      </c>
      <c r="H90">
        <v>1</v>
      </c>
      <c r="I90">
        <v>0</v>
      </c>
      <c r="J90">
        <v>1.7925</v>
      </c>
      <c r="K90" s="8" t="s">
        <v>42</v>
      </c>
      <c r="L90" s="8" t="s">
        <v>42</v>
      </c>
      <c r="M90">
        <v>0</v>
      </c>
      <c r="N90">
        <v>0</v>
      </c>
      <c r="O90">
        <v>3.9391199999999999E-3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 s="1">
        <v>0</v>
      </c>
      <c r="X90" s="1">
        <v>0</v>
      </c>
      <c r="Y90" s="8" t="s">
        <v>42</v>
      </c>
      <c r="Z90" s="8" t="s">
        <v>42</v>
      </c>
      <c r="AA90" s="8" t="s">
        <v>42</v>
      </c>
    </row>
    <row r="91" spans="1:27" x14ac:dyDescent="0.25">
      <c r="A91">
        <v>1</v>
      </c>
      <c r="B91">
        <v>0.45</v>
      </c>
      <c r="C91">
        <v>90</v>
      </c>
      <c r="D91">
        <v>-0.219</v>
      </c>
      <c r="E91">
        <v>0.97170000000000001</v>
      </c>
      <c r="F91">
        <v>0</v>
      </c>
      <c r="G91">
        <v>0.99606088000000004</v>
      </c>
      <c r="H91">
        <v>1</v>
      </c>
      <c r="I91">
        <v>0</v>
      </c>
      <c r="J91">
        <v>1.7925</v>
      </c>
      <c r="K91" s="8" t="s">
        <v>42</v>
      </c>
      <c r="L91" s="8" t="s">
        <v>42</v>
      </c>
      <c r="M91">
        <v>0</v>
      </c>
      <c r="N91">
        <v>0</v>
      </c>
      <c r="O91">
        <v>3.9391199999999999E-3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 s="1">
        <v>0</v>
      </c>
      <c r="X91" s="1">
        <v>0</v>
      </c>
      <c r="Y91" s="8" t="s">
        <v>42</v>
      </c>
      <c r="Z91" s="8" t="s">
        <v>42</v>
      </c>
      <c r="AA91" s="8" t="s">
        <v>42</v>
      </c>
    </row>
    <row r="92" spans="1:27" x14ac:dyDescent="0.25">
      <c r="A92">
        <v>1</v>
      </c>
      <c r="B92">
        <v>0.45500000000000002</v>
      </c>
      <c r="C92">
        <v>91</v>
      </c>
      <c r="D92">
        <v>-0.219</v>
      </c>
      <c r="E92">
        <v>0.97170000000000001</v>
      </c>
      <c r="F92">
        <v>0</v>
      </c>
      <c r="G92">
        <v>0.99606088000000004</v>
      </c>
      <c r="H92">
        <v>1</v>
      </c>
      <c r="I92">
        <v>0</v>
      </c>
      <c r="J92">
        <v>1.7925</v>
      </c>
      <c r="K92" s="8" t="s">
        <v>42</v>
      </c>
      <c r="L92" s="8" t="s">
        <v>42</v>
      </c>
      <c r="M92">
        <v>0</v>
      </c>
      <c r="N92">
        <v>0</v>
      </c>
      <c r="O92">
        <v>3.9391199999999999E-3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 s="1">
        <v>0</v>
      </c>
      <c r="X92" s="1">
        <v>0</v>
      </c>
      <c r="Y92" s="8" t="s">
        <v>42</v>
      </c>
      <c r="Z92" s="8" t="s">
        <v>42</v>
      </c>
      <c r="AA92" s="8" t="s">
        <v>42</v>
      </c>
    </row>
    <row r="93" spans="1:27" x14ac:dyDescent="0.25">
      <c r="A93">
        <v>1</v>
      </c>
      <c r="B93">
        <v>0.46</v>
      </c>
      <c r="C93">
        <v>92</v>
      </c>
      <c r="D93">
        <v>-0.219</v>
      </c>
      <c r="E93">
        <v>0.97170000000000001</v>
      </c>
      <c r="F93">
        <v>0</v>
      </c>
      <c r="G93">
        <v>0.99606088000000004</v>
      </c>
      <c r="H93">
        <v>1</v>
      </c>
      <c r="I93">
        <v>0</v>
      </c>
      <c r="J93">
        <v>1.7925</v>
      </c>
      <c r="K93" s="8" t="s">
        <v>42</v>
      </c>
      <c r="L93" s="8" t="s">
        <v>42</v>
      </c>
      <c r="M93">
        <v>0</v>
      </c>
      <c r="N93">
        <v>0</v>
      </c>
      <c r="O93">
        <v>3.9391199999999999E-3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 s="1">
        <v>0</v>
      </c>
      <c r="X93" s="1">
        <v>0</v>
      </c>
      <c r="Y93" s="8" t="s">
        <v>42</v>
      </c>
      <c r="Z93" s="8" t="s">
        <v>42</v>
      </c>
      <c r="AA93" s="8" t="s">
        <v>42</v>
      </c>
    </row>
    <row r="94" spans="1:27" x14ac:dyDescent="0.25">
      <c r="A94">
        <v>1</v>
      </c>
      <c r="B94">
        <v>0.46500000000000002</v>
      </c>
      <c r="C94">
        <v>93</v>
      </c>
      <c r="D94">
        <v>-0.219</v>
      </c>
      <c r="E94">
        <v>0.97170000000000001</v>
      </c>
      <c r="F94">
        <v>0</v>
      </c>
      <c r="G94">
        <v>0.99606088000000004</v>
      </c>
      <c r="H94">
        <v>1</v>
      </c>
      <c r="I94">
        <v>0</v>
      </c>
      <c r="J94">
        <v>1.7925</v>
      </c>
      <c r="K94" s="8" t="s">
        <v>42</v>
      </c>
      <c r="L94" s="8" t="s">
        <v>42</v>
      </c>
      <c r="M94">
        <v>0</v>
      </c>
      <c r="N94">
        <v>0</v>
      </c>
      <c r="O94">
        <v>3.9391199999999999E-3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s="1">
        <v>0</v>
      </c>
      <c r="X94" s="1">
        <v>0</v>
      </c>
      <c r="Y94" s="8" t="s">
        <v>42</v>
      </c>
      <c r="Z94" s="8" t="s">
        <v>42</v>
      </c>
      <c r="AA94" s="8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9A74B-9579-455E-8F0F-AAB9D674F917}">
  <dimension ref="A1:AA94"/>
  <sheetViews>
    <sheetView workbookViewId="0">
      <selection activeCell="G18" sqref="G18"/>
    </sheetView>
  </sheetViews>
  <sheetFormatPr defaultRowHeight="15" x14ac:dyDescent="0.25"/>
  <cols>
    <col min="1" max="1" width="4.42578125" bestFit="1" customWidth="1"/>
    <col min="2" max="2" width="6" bestFit="1" customWidth="1"/>
    <col min="3" max="3" width="6.42578125" bestFit="1" customWidth="1"/>
    <col min="4" max="5" width="7.7109375" bestFit="1" customWidth="1"/>
    <col min="6" max="6" width="12.85546875" bestFit="1" customWidth="1"/>
    <col min="7" max="7" width="11" bestFit="1" customWidth="1"/>
    <col min="8" max="8" width="13.140625" bestFit="1" customWidth="1"/>
    <col min="9" max="9" width="8.42578125" bestFit="1" customWidth="1"/>
    <col min="10" max="10" width="8.28515625" bestFit="1" customWidth="1"/>
    <col min="11" max="11" width="10.5703125" bestFit="1" customWidth="1"/>
    <col min="12" max="12" width="11.28515625" bestFit="1" customWidth="1"/>
    <col min="13" max="14" width="9.42578125" bestFit="1" customWidth="1"/>
    <col min="15" max="16" width="11.7109375" bestFit="1" customWidth="1"/>
    <col min="17" max="17" width="11" bestFit="1" customWidth="1"/>
    <col min="18" max="19" width="11.7109375" bestFit="1" customWidth="1"/>
    <col min="20" max="21" width="11" bestFit="1" customWidth="1"/>
    <col min="22" max="23" width="11.7109375" bestFit="1" customWidth="1"/>
    <col min="24" max="24" width="14.42578125" customWidth="1"/>
    <col min="25" max="26" width="11.7109375" bestFit="1" customWidth="1"/>
    <col min="27" max="27" width="10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26</v>
      </c>
      <c r="J1" t="s">
        <v>18</v>
      </c>
      <c r="K1" t="s">
        <v>37</v>
      </c>
      <c r="L1" t="s">
        <v>38</v>
      </c>
      <c r="M1" t="s">
        <v>9</v>
      </c>
      <c r="N1" t="s">
        <v>10</v>
      </c>
      <c r="O1" t="s">
        <v>8</v>
      </c>
      <c r="P1" t="s">
        <v>36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25</v>
      </c>
      <c r="Y1" t="s">
        <v>39</v>
      </c>
      <c r="Z1" t="s">
        <v>40</v>
      </c>
      <c r="AA1" t="s">
        <v>41</v>
      </c>
    </row>
    <row r="2" spans="1:27" x14ac:dyDescent="0.25">
      <c r="A2">
        <v>2</v>
      </c>
      <c r="B2">
        <v>5.0000000000000001E-3</v>
      </c>
      <c r="C2">
        <v>1</v>
      </c>
      <c r="D2">
        <v>-1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8" t="s">
        <v>42</v>
      </c>
      <c r="L2" s="8" t="s">
        <v>42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8" t="s">
        <v>42</v>
      </c>
      <c r="Z2" s="8" t="s">
        <v>42</v>
      </c>
      <c r="AA2" s="8" t="s">
        <v>42</v>
      </c>
    </row>
    <row r="3" spans="1:27" x14ac:dyDescent="0.25">
      <c r="A3">
        <v>2</v>
      </c>
      <c r="B3">
        <v>0.01</v>
      </c>
      <c r="C3">
        <v>2</v>
      </c>
      <c r="D3">
        <v>-1</v>
      </c>
      <c r="E3">
        <v>0</v>
      </c>
      <c r="F3">
        <v>0</v>
      </c>
      <c r="G3">
        <v>1</v>
      </c>
      <c r="H3">
        <v>0</v>
      </c>
      <c r="I3">
        <v>0</v>
      </c>
      <c r="J3">
        <v>3.1415999999999999</v>
      </c>
      <c r="K3" s="8" t="s">
        <v>42</v>
      </c>
      <c r="L3" s="8" t="s">
        <v>42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8" t="s">
        <v>42</v>
      </c>
      <c r="Z3" s="8" t="s">
        <v>42</v>
      </c>
      <c r="AA3" s="8" t="s">
        <v>42</v>
      </c>
    </row>
    <row r="4" spans="1:27" x14ac:dyDescent="0.25">
      <c r="A4">
        <v>2</v>
      </c>
      <c r="B4">
        <v>1.4999999999999999E-2</v>
      </c>
      <c r="C4">
        <v>3</v>
      </c>
      <c r="D4">
        <v>-1</v>
      </c>
      <c r="E4">
        <v>0</v>
      </c>
      <c r="F4">
        <v>0</v>
      </c>
      <c r="G4">
        <v>1</v>
      </c>
      <c r="H4">
        <v>0</v>
      </c>
      <c r="I4">
        <v>0</v>
      </c>
      <c r="J4">
        <v>3.1415999999999999</v>
      </c>
      <c r="K4" s="8" t="s">
        <v>42</v>
      </c>
      <c r="L4" s="8" t="s">
        <v>42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8" t="s">
        <v>42</v>
      </c>
      <c r="Z4" s="8" t="s">
        <v>42</v>
      </c>
      <c r="AA4" s="8" t="s">
        <v>42</v>
      </c>
    </row>
    <row r="5" spans="1:27" x14ac:dyDescent="0.25">
      <c r="A5">
        <v>2</v>
      </c>
      <c r="B5">
        <v>0.02</v>
      </c>
      <c r="C5">
        <v>4</v>
      </c>
      <c r="D5">
        <v>-1</v>
      </c>
      <c r="E5">
        <v>0</v>
      </c>
      <c r="F5">
        <v>0</v>
      </c>
      <c r="G5">
        <v>1</v>
      </c>
      <c r="H5">
        <v>0</v>
      </c>
      <c r="I5">
        <v>0</v>
      </c>
      <c r="J5">
        <v>3.1415999999999999</v>
      </c>
      <c r="K5" s="8" t="s">
        <v>42</v>
      </c>
      <c r="L5" s="8" t="s">
        <v>42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8" t="s">
        <v>42</v>
      </c>
      <c r="Z5" s="8" t="s">
        <v>42</v>
      </c>
      <c r="AA5" s="8" t="s">
        <v>42</v>
      </c>
    </row>
    <row r="6" spans="1:27" x14ac:dyDescent="0.25">
      <c r="A6">
        <v>2</v>
      </c>
      <c r="B6">
        <v>2.5000000000000001E-2</v>
      </c>
      <c r="C6">
        <v>5</v>
      </c>
      <c r="D6">
        <v>-1</v>
      </c>
      <c r="E6">
        <v>0</v>
      </c>
      <c r="F6">
        <v>0</v>
      </c>
      <c r="G6">
        <v>1</v>
      </c>
      <c r="H6">
        <v>0</v>
      </c>
      <c r="I6">
        <v>0</v>
      </c>
      <c r="J6">
        <v>3.1415999999999999</v>
      </c>
      <c r="K6" s="8" t="s">
        <v>42</v>
      </c>
      <c r="L6" s="8" t="s">
        <v>42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8" t="s">
        <v>42</v>
      </c>
      <c r="Z6" s="8" t="s">
        <v>42</v>
      </c>
      <c r="AA6" s="8" t="s">
        <v>42</v>
      </c>
    </row>
    <row r="7" spans="1:27" x14ac:dyDescent="0.25">
      <c r="A7">
        <v>2</v>
      </c>
      <c r="B7">
        <v>0.03</v>
      </c>
      <c r="C7">
        <v>6</v>
      </c>
      <c r="D7">
        <v>-1</v>
      </c>
      <c r="E7">
        <v>0</v>
      </c>
      <c r="F7">
        <v>0</v>
      </c>
      <c r="G7">
        <v>1</v>
      </c>
      <c r="H7">
        <v>0</v>
      </c>
      <c r="I7">
        <v>0</v>
      </c>
      <c r="J7">
        <v>3.1415999999999999</v>
      </c>
      <c r="K7" s="8" t="s">
        <v>42</v>
      </c>
      <c r="L7" s="8" t="s">
        <v>42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8" t="s">
        <v>42</v>
      </c>
      <c r="Z7" s="8" t="s">
        <v>42</v>
      </c>
      <c r="AA7" s="8" t="s">
        <v>42</v>
      </c>
    </row>
    <row r="8" spans="1:27" x14ac:dyDescent="0.25">
      <c r="A8">
        <v>2</v>
      </c>
      <c r="B8">
        <v>3.5000000000000003E-2</v>
      </c>
      <c r="C8">
        <v>7</v>
      </c>
      <c r="D8">
        <v>-1</v>
      </c>
      <c r="E8">
        <v>0</v>
      </c>
      <c r="F8">
        <v>0</v>
      </c>
      <c r="G8">
        <v>1</v>
      </c>
      <c r="H8">
        <v>0</v>
      </c>
      <c r="I8">
        <v>0</v>
      </c>
      <c r="J8">
        <v>3.1415999999999999</v>
      </c>
      <c r="K8" s="8" t="s">
        <v>42</v>
      </c>
      <c r="L8" s="8" t="s">
        <v>42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8" t="s">
        <v>42</v>
      </c>
      <c r="Z8" s="8" t="s">
        <v>42</v>
      </c>
      <c r="AA8" s="8" t="s">
        <v>42</v>
      </c>
    </row>
    <row r="9" spans="1:27" x14ac:dyDescent="0.25">
      <c r="A9">
        <v>2</v>
      </c>
      <c r="B9">
        <v>0.04</v>
      </c>
      <c r="C9">
        <v>8</v>
      </c>
      <c r="D9">
        <v>-1</v>
      </c>
      <c r="E9">
        <v>0</v>
      </c>
      <c r="F9">
        <v>0</v>
      </c>
      <c r="G9">
        <v>1</v>
      </c>
      <c r="H9">
        <v>0</v>
      </c>
      <c r="I9">
        <v>0</v>
      </c>
      <c r="J9">
        <v>3.1415999999999999</v>
      </c>
      <c r="K9" s="8" t="s">
        <v>42</v>
      </c>
      <c r="L9" s="8" t="s">
        <v>42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8" t="s">
        <v>42</v>
      </c>
      <c r="Z9" s="8" t="s">
        <v>42</v>
      </c>
      <c r="AA9" s="8" t="s">
        <v>42</v>
      </c>
    </row>
    <row r="10" spans="1:27" x14ac:dyDescent="0.25">
      <c r="A10">
        <v>2</v>
      </c>
      <c r="B10">
        <v>4.4999999999999998E-2</v>
      </c>
      <c r="C10">
        <v>9</v>
      </c>
      <c r="D10">
        <v>-1</v>
      </c>
      <c r="E10">
        <v>0</v>
      </c>
      <c r="F10">
        <v>0</v>
      </c>
      <c r="G10">
        <v>1</v>
      </c>
      <c r="H10">
        <v>0</v>
      </c>
      <c r="I10">
        <v>0</v>
      </c>
      <c r="J10">
        <v>3.1415999999999999</v>
      </c>
      <c r="K10" s="8" t="s">
        <v>42</v>
      </c>
      <c r="L10" s="8" t="s">
        <v>42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8" t="s">
        <v>42</v>
      </c>
      <c r="Z10" s="8" t="s">
        <v>42</v>
      </c>
      <c r="AA10" s="8" t="s">
        <v>42</v>
      </c>
    </row>
    <row r="11" spans="1:27" x14ac:dyDescent="0.25">
      <c r="A11">
        <v>2</v>
      </c>
      <c r="B11">
        <v>0.05</v>
      </c>
      <c r="C11">
        <v>10</v>
      </c>
      <c r="D11">
        <v>-1</v>
      </c>
      <c r="E11">
        <v>0</v>
      </c>
      <c r="F11">
        <v>0</v>
      </c>
      <c r="G11">
        <v>1</v>
      </c>
      <c r="H11">
        <v>0</v>
      </c>
      <c r="I11">
        <v>0</v>
      </c>
      <c r="J11">
        <v>3.1415999999999999</v>
      </c>
      <c r="K11" s="8" t="s">
        <v>42</v>
      </c>
      <c r="L11" s="8" t="s">
        <v>42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8" t="s">
        <v>42</v>
      </c>
      <c r="Z11" s="8" t="s">
        <v>42</v>
      </c>
      <c r="AA11" s="8" t="s">
        <v>42</v>
      </c>
    </row>
    <row r="12" spans="1:27" x14ac:dyDescent="0.25">
      <c r="A12">
        <v>2</v>
      </c>
      <c r="B12">
        <v>5.5E-2</v>
      </c>
      <c r="C12">
        <v>11</v>
      </c>
      <c r="D12">
        <v>-1</v>
      </c>
      <c r="E12">
        <v>0</v>
      </c>
      <c r="F12">
        <v>0</v>
      </c>
      <c r="G12">
        <v>1</v>
      </c>
      <c r="H12">
        <v>0</v>
      </c>
      <c r="I12">
        <v>0</v>
      </c>
      <c r="J12">
        <v>3.1415999999999999</v>
      </c>
      <c r="K12" s="8" t="s">
        <v>42</v>
      </c>
      <c r="L12" s="8" t="s">
        <v>42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8" t="s">
        <v>42</v>
      </c>
      <c r="Z12" s="8" t="s">
        <v>42</v>
      </c>
      <c r="AA12" s="8" t="s">
        <v>42</v>
      </c>
    </row>
    <row r="13" spans="1:27" x14ac:dyDescent="0.25">
      <c r="A13">
        <v>2</v>
      </c>
      <c r="B13">
        <v>0.06</v>
      </c>
      <c r="C13">
        <v>12</v>
      </c>
      <c r="D13">
        <v>-1</v>
      </c>
      <c r="E13">
        <v>0</v>
      </c>
      <c r="F13">
        <v>0</v>
      </c>
      <c r="G13">
        <v>1</v>
      </c>
      <c r="H13">
        <v>0</v>
      </c>
      <c r="I13">
        <v>0</v>
      </c>
      <c r="J13">
        <v>3.1415999999999999</v>
      </c>
      <c r="K13" s="8" t="s">
        <v>42</v>
      </c>
      <c r="L13" s="8" t="s">
        <v>42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8" t="s">
        <v>42</v>
      </c>
      <c r="Z13" s="8" t="s">
        <v>42</v>
      </c>
      <c r="AA13" s="8" t="s">
        <v>42</v>
      </c>
    </row>
    <row r="14" spans="1:27" x14ac:dyDescent="0.25">
      <c r="A14">
        <v>2</v>
      </c>
      <c r="B14">
        <v>6.5000000000000002E-2</v>
      </c>
      <c r="C14">
        <v>13</v>
      </c>
      <c r="D14">
        <v>-1</v>
      </c>
      <c r="E14">
        <v>0</v>
      </c>
      <c r="F14">
        <v>0</v>
      </c>
      <c r="G14">
        <v>1</v>
      </c>
      <c r="H14">
        <v>0</v>
      </c>
      <c r="I14">
        <v>0</v>
      </c>
      <c r="J14">
        <v>3.1415999999999999</v>
      </c>
      <c r="K14" s="8" t="s">
        <v>42</v>
      </c>
      <c r="L14" s="8" t="s">
        <v>42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8" t="s">
        <v>42</v>
      </c>
      <c r="Z14" s="8" t="s">
        <v>42</v>
      </c>
      <c r="AA14" s="8" t="s">
        <v>42</v>
      </c>
    </row>
    <row r="15" spans="1:27" x14ac:dyDescent="0.25">
      <c r="A15">
        <v>2</v>
      </c>
      <c r="B15">
        <v>7.0000000000000007E-2</v>
      </c>
      <c r="C15">
        <v>14</v>
      </c>
      <c r="D15">
        <v>-1</v>
      </c>
      <c r="E15">
        <v>0</v>
      </c>
      <c r="F15">
        <v>0</v>
      </c>
      <c r="G15">
        <v>1</v>
      </c>
      <c r="H15">
        <v>0</v>
      </c>
      <c r="I15">
        <v>0</v>
      </c>
      <c r="J15">
        <v>3.1415999999999999</v>
      </c>
      <c r="K15" s="8" t="s">
        <v>42</v>
      </c>
      <c r="L15" s="8" t="s">
        <v>42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8" t="s">
        <v>42</v>
      </c>
      <c r="Z15" s="8" t="s">
        <v>42</v>
      </c>
      <c r="AA15" s="8" t="s">
        <v>42</v>
      </c>
    </row>
    <row r="16" spans="1:27" x14ac:dyDescent="0.25">
      <c r="A16">
        <v>2</v>
      </c>
      <c r="B16">
        <v>7.4999999999999997E-2</v>
      </c>
      <c r="C16">
        <v>15</v>
      </c>
      <c r="D16">
        <v>-1</v>
      </c>
      <c r="E16">
        <v>0</v>
      </c>
      <c r="F16">
        <v>0</v>
      </c>
      <c r="G16">
        <v>1</v>
      </c>
      <c r="H16">
        <v>0</v>
      </c>
      <c r="I16">
        <v>0</v>
      </c>
      <c r="J16">
        <v>3.1415999999999999</v>
      </c>
      <c r="K16" s="8" t="s">
        <v>42</v>
      </c>
      <c r="L16" s="8" t="s">
        <v>42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8" t="s">
        <v>42</v>
      </c>
      <c r="Z16" s="8" t="s">
        <v>42</v>
      </c>
      <c r="AA16" s="8" t="s">
        <v>42</v>
      </c>
    </row>
    <row r="17" spans="1:27" x14ac:dyDescent="0.25">
      <c r="A17">
        <v>2</v>
      </c>
      <c r="B17">
        <v>0.08</v>
      </c>
      <c r="C17">
        <v>16</v>
      </c>
      <c r="D17">
        <v>-1</v>
      </c>
      <c r="E17">
        <v>0</v>
      </c>
      <c r="F17">
        <v>0</v>
      </c>
      <c r="G17">
        <v>1</v>
      </c>
      <c r="H17">
        <v>0</v>
      </c>
      <c r="I17">
        <v>0</v>
      </c>
      <c r="J17">
        <v>3.1415999999999999</v>
      </c>
      <c r="K17" s="8" t="s">
        <v>42</v>
      </c>
      <c r="L17" s="8" t="s">
        <v>42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8" t="s">
        <v>42</v>
      </c>
      <c r="Z17" s="8" t="s">
        <v>42</v>
      </c>
      <c r="AA17" s="8" t="s">
        <v>42</v>
      </c>
    </row>
    <row r="18" spans="1:27" x14ac:dyDescent="0.25">
      <c r="A18">
        <v>2</v>
      </c>
      <c r="B18">
        <v>8.5000000000000006E-2</v>
      </c>
      <c r="C18">
        <v>17</v>
      </c>
      <c r="D18">
        <v>-1</v>
      </c>
      <c r="E18">
        <v>0</v>
      </c>
      <c r="F18">
        <v>2.3993E-3</v>
      </c>
      <c r="G18">
        <v>1</v>
      </c>
      <c r="H18">
        <v>1</v>
      </c>
      <c r="I18">
        <v>0</v>
      </c>
      <c r="J18">
        <v>3.1415999999999999</v>
      </c>
      <c r="K18" s="8" t="s">
        <v>42</v>
      </c>
      <c r="L18" s="8" t="s">
        <v>42</v>
      </c>
      <c r="M18">
        <v>0</v>
      </c>
      <c r="N18">
        <v>0</v>
      </c>
      <c r="O18">
        <v>0</v>
      </c>
      <c r="P18">
        <v>-4.7110000000000001E-4</v>
      </c>
      <c r="Q18">
        <v>4.7110000000000001E-4</v>
      </c>
      <c r="R18">
        <v>-4.7110000000000001E-4</v>
      </c>
      <c r="S18">
        <v>-1.9950066799999999</v>
      </c>
      <c r="T18">
        <v>3.0732699999999999E-3</v>
      </c>
      <c r="U18">
        <v>1.99500905</v>
      </c>
      <c r="V18">
        <v>3.725E-4</v>
      </c>
      <c r="W18">
        <v>-2.8648999999999998E-4</v>
      </c>
      <c r="X18">
        <v>0</v>
      </c>
      <c r="Y18" s="8" t="s">
        <v>59</v>
      </c>
      <c r="Z18" s="8" t="s">
        <v>60</v>
      </c>
      <c r="AA18" s="8" t="s">
        <v>42</v>
      </c>
    </row>
    <row r="19" spans="1:27" x14ac:dyDescent="0.25">
      <c r="A19">
        <v>2</v>
      </c>
      <c r="B19">
        <v>0.09</v>
      </c>
      <c r="C19">
        <v>18</v>
      </c>
      <c r="D19">
        <v>-0.99960000000000004</v>
      </c>
      <c r="E19">
        <v>-2.9999999999999997E-4</v>
      </c>
      <c r="F19">
        <v>6.7162599999999999E-3</v>
      </c>
      <c r="G19">
        <v>0.99962753999999998</v>
      </c>
      <c r="H19">
        <v>1</v>
      </c>
      <c r="I19">
        <v>0</v>
      </c>
      <c r="J19">
        <v>3.1419000000000001</v>
      </c>
      <c r="K19" s="8" t="s">
        <v>723</v>
      </c>
      <c r="L19" s="8" t="s">
        <v>42</v>
      </c>
      <c r="M19">
        <v>0</v>
      </c>
      <c r="N19">
        <v>0</v>
      </c>
      <c r="O19">
        <v>3.7246000000000002E-4</v>
      </c>
      <c r="P19">
        <v>-1.3187299999999999E-3</v>
      </c>
      <c r="Q19">
        <v>1.3187299999999999E-3</v>
      </c>
      <c r="R19">
        <v>-8.4763000000000004E-4</v>
      </c>
      <c r="S19">
        <v>-1.9950066799999999</v>
      </c>
      <c r="T19">
        <v>3.0732699999999999E-3</v>
      </c>
      <c r="U19">
        <v>1.99500905</v>
      </c>
      <c r="V19">
        <v>1.03265E-3</v>
      </c>
      <c r="W19">
        <v>-8.1486999999999998E-4</v>
      </c>
      <c r="X19">
        <v>0</v>
      </c>
      <c r="Y19" s="8" t="s">
        <v>724</v>
      </c>
      <c r="Z19" s="8" t="s">
        <v>725</v>
      </c>
      <c r="AA19" s="8" t="s">
        <v>726</v>
      </c>
    </row>
    <row r="20" spans="1:27" x14ac:dyDescent="0.25">
      <c r="A20">
        <v>2</v>
      </c>
      <c r="B20">
        <v>9.5000000000000001E-2</v>
      </c>
      <c r="C20">
        <v>19</v>
      </c>
      <c r="D20">
        <v>-0.99860000000000004</v>
      </c>
      <c r="E20">
        <v>-1.1000000000000001E-3</v>
      </c>
      <c r="F20">
        <v>1.2196719999999999E-2</v>
      </c>
      <c r="G20">
        <v>0.99859545000000005</v>
      </c>
      <c r="H20">
        <v>1</v>
      </c>
      <c r="I20">
        <v>0</v>
      </c>
      <c r="J20">
        <v>3.1427</v>
      </c>
      <c r="K20" s="8" t="s">
        <v>727</v>
      </c>
      <c r="L20" s="8" t="s">
        <v>728</v>
      </c>
      <c r="M20">
        <v>0</v>
      </c>
      <c r="N20">
        <v>0</v>
      </c>
      <c r="O20">
        <v>1.4045500000000001E-3</v>
      </c>
      <c r="P20">
        <v>-2.3948200000000002E-3</v>
      </c>
      <c r="Q20">
        <v>2.3948200000000002E-3</v>
      </c>
      <c r="R20">
        <v>-1.07609E-3</v>
      </c>
      <c r="S20">
        <v>-1.9950066799999999</v>
      </c>
      <c r="T20">
        <v>3.0732699999999999E-3</v>
      </c>
      <c r="U20">
        <v>1.99500905</v>
      </c>
      <c r="V20">
        <v>1.85622E-3</v>
      </c>
      <c r="W20">
        <v>-1.5036699999999999E-3</v>
      </c>
      <c r="X20">
        <v>0</v>
      </c>
      <c r="Y20" s="8" t="s">
        <v>729</v>
      </c>
      <c r="Z20" s="8" t="s">
        <v>730</v>
      </c>
      <c r="AA20" s="8" t="s">
        <v>731</v>
      </c>
    </row>
    <row r="21" spans="1:27" x14ac:dyDescent="0.25">
      <c r="A21">
        <v>2</v>
      </c>
      <c r="B21">
        <v>0.1</v>
      </c>
      <c r="C21">
        <v>20</v>
      </c>
      <c r="D21">
        <v>-0.99670000000000003</v>
      </c>
      <c r="E21">
        <v>-2.5999999999999999E-3</v>
      </c>
      <c r="F21">
        <v>1.8541180000000001E-2</v>
      </c>
      <c r="G21">
        <v>0.99674202999999995</v>
      </c>
      <c r="H21">
        <v>1</v>
      </c>
      <c r="I21">
        <v>0</v>
      </c>
      <c r="J21">
        <v>3.1442000000000001</v>
      </c>
      <c r="K21" s="8" t="s">
        <v>732</v>
      </c>
      <c r="L21" s="8" t="s">
        <v>733</v>
      </c>
      <c r="M21">
        <v>0</v>
      </c>
      <c r="N21">
        <v>0</v>
      </c>
      <c r="O21">
        <v>3.2579699999999998E-3</v>
      </c>
      <c r="P21">
        <v>-3.6405500000000002E-3</v>
      </c>
      <c r="Q21">
        <v>3.6405500000000002E-3</v>
      </c>
      <c r="R21">
        <v>-1.24573E-3</v>
      </c>
      <c r="S21">
        <v>-1.9950066799999999</v>
      </c>
      <c r="T21">
        <v>3.0732699999999999E-3</v>
      </c>
      <c r="U21">
        <v>1.99500905</v>
      </c>
      <c r="V21">
        <v>2.7916099999999999E-3</v>
      </c>
      <c r="W21">
        <v>-2.3226000000000002E-3</v>
      </c>
      <c r="X21">
        <v>0</v>
      </c>
      <c r="Y21" s="8" t="s">
        <v>734</v>
      </c>
      <c r="Z21" s="8" t="s">
        <v>735</v>
      </c>
      <c r="AA21" s="8" t="s">
        <v>736</v>
      </c>
    </row>
    <row r="22" spans="1:27" x14ac:dyDescent="0.25">
      <c r="A22">
        <v>2</v>
      </c>
      <c r="B22">
        <v>0.105</v>
      </c>
      <c r="C22">
        <v>21</v>
      </c>
      <c r="D22">
        <v>-0.99390000000000001</v>
      </c>
      <c r="E22">
        <v>-4.8999999999999998E-3</v>
      </c>
      <c r="F22">
        <v>2.5554609999999998E-2</v>
      </c>
      <c r="G22">
        <v>0.99395922999999997</v>
      </c>
      <c r="H22">
        <v>1</v>
      </c>
      <c r="I22">
        <v>0</v>
      </c>
      <c r="J22">
        <v>3.1465999999999998</v>
      </c>
      <c r="K22" s="8" t="s">
        <v>737</v>
      </c>
      <c r="L22" s="8" t="s">
        <v>738</v>
      </c>
      <c r="M22">
        <v>0</v>
      </c>
      <c r="N22">
        <v>0</v>
      </c>
      <c r="O22">
        <v>6.04077E-3</v>
      </c>
      <c r="P22">
        <v>-5.0176400000000003E-3</v>
      </c>
      <c r="Q22">
        <v>5.0176400000000003E-3</v>
      </c>
      <c r="R22">
        <v>-1.3770799999999999E-3</v>
      </c>
      <c r="S22">
        <v>-1.9950066799999999</v>
      </c>
      <c r="T22">
        <v>3.0732699999999999E-3</v>
      </c>
      <c r="U22">
        <v>1.99500905</v>
      </c>
      <c r="V22">
        <v>3.8043700000000001E-3</v>
      </c>
      <c r="W22">
        <v>-3.2523700000000001E-3</v>
      </c>
      <c r="X22">
        <v>0</v>
      </c>
      <c r="Y22" s="8" t="s">
        <v>739</v>
      </c>
      <c r="Z22" s="8" t="s">
        <v>740</v>
      </c>
      <c r="AA22" s="8" t="s">
        <v>741</v>
      </c>
    </row>
    <row r="23" spans="1:27" x14ac:dyDescent="0.25">
      <c r="A23">
        <v>2</v>
      </c>
      <c r="B23">
        <v>0.11</v>
      </c>
      <c r="C23">
        <v>22</v>
      </c>
      <c r="D23">
        <v>-0.99009999999999998</v>
      </c>
      <c r="E23">
        <v>-8.2000000000000007E-3</v>
      </c>
      <c r="F23">
        <v>3.3087329999999998E-2</v>
      </c>
      <c r="G23">
        <v>0.99017643</v>
      </c>
      <c r="H23">
        <v>1</v>
      </c>
      <c r="I23">
        <v>0</v>
      </c>
      <c r="J23">
        <v>3.1499000000000001</v>
      </c>
      <c r="K23" s="8" t="s">
        <v>742</v>
      </c>
      <c r="L23" s="8" t="s">
        <v>743</v>
      </c>
      <c r="M23">
        <v>0</v>
      </c>
      <c r="N23">
        <v>0</v>
      </c>
      <c r="O23">
        <v>9.8235700000000002E-3</v>
      </c>
      <c r="P23">
        <v>-6.4966800000000003E-3</v>
      </c>
      <c r="Q23">
        <v>6.4966800000000003E-3</v>
      </c>
      <c r="R23">
        <v>-1.47904E-3</v>
      </c>
      <c r="S23">
        <v>-1.9950066799999999</v>
      </c>
      <c r="T23">
        <v>3.0732699999999999E-3</v>
      </c>
      <c r="U23">
        <v>1.99500905</v>
      </c>
      <c r="V23">
        <v>4.8678100000000002E-3</v>
      </c>
      <c r="W23">
        <v>-4.27795E-3</v>
      </c>
      <c r="X23">
        <v>0</v>
      </c>
      <c r="Y23" s="8" t="s">
        <v>744</v>
      </c>
      <c r="Z23" s="8" t="s">
        <v>745</v>
      </c>
      <c r="AA23" s="8" t="s">
        <v>746</v>
      </c>
    </row>
    <row r="24" spans="1:27" x14ac:dyDescent="0.25">
      <c r="A24">
        <v>2</v>
      </c>
      <c r="B24">
        <v>0.115</v>
      </c>
      <c r="C24">
        <v>23</v>
      </c>
      <c r="D24">
        <v>-0.98529999999999995</v>
      </c>
      <c r="E24">
        <v>-1.2500000000000001E-2</v>
      </c>
      <c r="F24">
        <v>4.1014099999999998E-2</v>
      </c>
      <c r="G24">
        <v>0.98535357999999995</v>
      </c>
      <c r="H24">
        <v>1</v>
      </c>
      <c r="I24">
        <v>0</v>
      </c>
      <c r="J24">
        <v>3.1541999999999999</v>
      </c>
      <c r="K24" s="8" t="s">
        <v>747</v>
      </c>
      <c r="L24" s="8" t="s">
        <v>748</v>
      </c>
      <c r="M24">
        <v>0</v>
      </c>
      <c r="N24">
        <v>0</v>
      </c>
      <c r="O24">
        <v>1.464642E-2</v>
      </c>
      <c r="P24">
        <v>-8.0531000000000005E-3</v>
      </c>
      <c r="Q24">
        <v>8.0531000000000005E-3</v>
      </c>
      <c r="R24">
        <v>-1.55642E-3</v>
      </c>
      <c r="S24">
        <v>-1.9950066799999999</v>
      </c>
      <c r="T24">
        <v>3.0732699999999999E-3</v>
      </c>
      <c r="U24">
        <v>1.99500905</v>
      </c>
      <c r="V24">
        <v>5.95971E-3</v>
      </c>
      <c r="W24">
        <v>-5.3861899999999999E-3</v>
      </c>
      <c r="X24">
        <v>0</v>
      </c>
      <c r="Y24" s="8" t="s">
        <v>749</v>
      </c>
      <c r="Z24" s="8" t="s">
        <v>750</v>
      </c>
      <c r="AA24" s="8" t="s">
        <v>751</v>
      </c>
    </row>
    <row r="25" spans="1:27" x14ac:dyDescent="0.25">
      <c r="A25">
        <v>2</v>
      </c>
      <c r="B25">
        <v>0.12</v>
      </c>
      <c r="C25">
        <v>24</v>
      </c>
      <c r="D25">
        <v>-0.97929999999999995</v>
      </c>
      <c r="E25">
        <v>-1.78E-2</v>
      </c>
      <c r="F25">
        <v>4.9224959999999998E-2</v>
      </c>
      <c r="G25">
        <v>0.97947766999999997</v>
      </c>
      <c r="H25">
        <v>1</v>
      </c>
      <c r="I25">
        <v>0</v>
      </c>
      <c r="J25">
        <v>3.1598000000000002</v>
      </c>
      <c r="K25" s="8" t="s">
        <v>752</v>
      </c>
      <c r="L25" s="8" t="s">
        <v>753</v>
      </c>
      <c r="M25">
        <v>0</v>
      </c>
      <c r="N25">
        <v>0</v>
      </c>
      <c r="O25">
        <v>2.0522329999999998E-2</v>
      </c>
      <c r="P25">
        <v>-9.6652999999999999E-3</v>
      </c>
      <c r="Q25">
        <v>9.6652999999999999E-3</v>
      </c>
      <c r="R25">
        <v>-1.6122E-3</v>
      </c>
      <c r="S25">
        <v>-1.9950066799999999</v>
      </c>
      <c r="T25">
        <v>3.0732699999999999E-3</v>
      </c>
      <c r="U25">
        <v>1.99500905</v>
      </c>
      <c r="V25">
        <v>7.0608700000000003E-3</v>
      </c>
      <c r="W25">
        <v>-6.5647800000000001E-3</v>
      </c>
      <c r="X25">
        <v>0</v>
      </c>
      <c r="Y25" s="8" t="s">
        <v>754</v>
      </c>
      <c r="Z25" s="8" t="s">
        <v>755</v>
      </c>
      <c r="AA25" s="8" t="s">
        <v>756</v>
      </c>
    </row>
    <row r="26" spans="1:27" x14ac:dyDescent="0.25">
      <c r="A26">
        <v>2</v>
      </c>
      <c r="B26">
        <v>0.125</v>
      </c>
      <c r="C26">
        <v>25</v>
      </c>
      <c r="D26">
        <v>-0.97230000000000005</v>
      </c>
      <c r="E26">
        <v>-2.4400000000000002E-2</v>
      </c>
      <c r="F26">
        <v>5.7620629999999999E-2</v>
      </c>
      <c r="G26">
        <v>0.97256058999999995</v>
      </c>
      <c r="H26">
        <v>1</v>
      </c>
      <c r="I26">
        <v>0</v>
      </c>
      <c r="J26">
        <v>3.1667000000000001</v>
      </c>
      <c r="K26" s="8" t="s">
        <v>757</v>
      </c>
      <c r="L26" s="8" t="s">
        <v>758</v>
      </c>
      <c r="M26">
        <v>0</v>
      </c>
      <c r="N26">
        <v>0</v>
      </c>
      <c r="O26">
        <v>2.7439410000000001E-2</v>
      </c>
      <c r="P26">
        <v>-1.1313780000000001E-2</v>
      </c>
      <c r="Q26">
        <v>1.1313780000000001E-2</v>
      </c>
      <c r="R26">
        <v>-1.6484900000000001E-3</v>
      </c>
      <c r="S26">
        <v>-1.9950066799999999</v>
      </c>
      <c r="T26">
        <v>3.0732699999999999E-3</v>
      </c>
      <c r="U26">
        <v>1.99500905</v>
      </c>
      <c r="V26">
        <v>8.1545000000000003E-3</v>
      </c>
      <c r="W26">
        <v>-7.8017800000000003E-3</v>
      </c>
      <c r="X26">
        <v>0</v>
      </c>
      <c r="Y26" s="8" t="s">
        <v>759</v>
      </c>
      <c r="Z26" s="8" t="s">
        <v>760</v>
      </c>
      <c r="AA26" s="8" t="s">
        <v>761</v>
      </c>
    </row>
    <row r="27" spans="1:27" x14ac:dyDescent="0.25">
      <c r="A27">
        <v>2</v>
      </c>
      <c r="B27">
        <v>0.13</v>
      </c>
      <c r="C27">
        <v>26</v>
      </c>
      <c r="D27">
        <v>-0.96409999999999996</v>
      </c>
      <c r="E27">
        <v>-3.2199999999999999E-2</v>
      </c>
      <c r="F27">
        <v>6.6110189999999999E-2</v>
      </c>
      <c r="G27">
        <v>0.96463767</v>
      </c>
      <c r="H27">
        <v>1</v>
      </c>
      <c r="I27">
        <v>0</v>
      </c>
      <c r="J27">
        <v>3.1749999999999998</v>
      </c>
      <c r="K27" s="8" t="s">
        <v>762</v>
      </c>
      <c r="L27" s="8" t="s">
        <v>763</v>
      </c>
      <c r="M27">
        <v>0</v>
      </c>
      <c r="N27">
        <v>0</v>
      </c>
      <c r="O27">
        <v>3.5362329999999997E-2</v>
      </c>
      <c r="P27">
        <v>-1.2980709999999999E-2</v>
      </c>
      <c r="Q27">
        <v>1.2980709999999999E-2</v>
      </c>
      <c r="R27">
        <v>-1.6669199999999999E-3</v>
      </c>
      <c r="S27">
        <v>-1.9950066799999999</v>
      </c>
      <c r="T27">
        <v>3.0732699999999999E-3</v>
      </c>
      <c r="U27">
        <v>1.99500905</v>
      </c>
      <c r="V27">
        <v>9.2257999999999993E-3</v>
      </c>
      <c r="W27">
        <v>-9.0853400000000008E-3</v>
      </c>
      <c r="X27">
        <v>0</v>
      </c>
      <c r="Y27" s="8" t="s">
        <v>764</v>
      </c>
      <c r="Z27" s="8" t="s">
        <v>765</v>
      </c>
      <c r="AA27" s="8" t="s">
        <v>766</v>
      </c>
    </row>
    <row r="28" spans="1:27" x14ac:dyDescent="0.25">
      <c r="A28">
        <v>2</v>
      </c>
      <c r="B28">
        <v>0.13500000000000001</v>
      </c>
      <c r="C28">
        <v>27</v>
      </c>
      <c r="D28">
        <v>-0.95489999999999997</v>
      </c>
      <c r="E28">
        <v>-4.1300000000000003E-2</v>
      </c>
      <c r="F28">
        <v>7.4609819999999993E-2</v>
      </c>
      <c r="G28">
        <v>0.95576649999999996</v>
      </c>
      <c r="H28">
        <v>1</v>
      </c>
      <c r="I28">
        <v>0</v>
      </c>
      <c r="J28">
        <v>3.1848000000000001</v>
      </c>
      <c r="K28" s="8" t="s">
        <v>767</v>
      </c>
      <c r="L28" s="8" t="s">
        <v>768</v>
      </c>
      <c r="M28">
        <v>0</v>
      </c>
      <c r="N28">
        <v>0</v>
      </c>
      <c r="O28">
        <v>4.4233500000000002E-2</v>
      </c>
      <c r="P28">
        <v>-1.46496E-2</v>
      </c>
      <c r="Q28">
        <v>1.46496E-2</v>
      </c>
      <c r="R28">
        <v>-1.6689000000000001E-3</v>
      </c>
      <c r="S28">
        <v>-1.9950066799999999</v>
      </c>
      <c r="T28">
        <v>3.0732699999999999E-3</v>
      </c>
      <c r="U28">
        <v>1.99500905</v>
      </c>
      <c r="V28">
        <v>1.0261879999999999E-2</v>
      </c>
      <c r="W28">
        <v>-1.0403600000000001E-2</v>
      </c>
      <c r="X28">
        <v>0</v>
      </c>
      <c r="Y28" s="8" t="s">
        <v>769</v>
      </c>
      <c r="Z28" s="8" t="s">
        <v>770</v>
      </c>
      <c r="AA28" s="8" t="s">
        <v>771</v>
      </c>
    </row>
    <row r="29" spans="1:27" x14ac:dyDescent="0.25">
      <c r="A29">
        <v>2</v>
      </c>
      <c r="B29">
        <v>0.14000000000000001</v>
      </c>
      <c r="C29">
        <v>28</v>
      </c>
      <c r="D29">
        <v>-0.9446</v>
      </c>
      <c r="E29">
        <v>-5.1700000000000003E-2</v>
      </c>
      <c r="F29">
        <v>8.3042199999999997E-2</v>
      </c>
      <c r="G29">
        <v>0.94602578999999998</v>
      </c>
      <c r="H29">
        <v>1</v>
      </c>
      <c r="I29">
        <v>0</v>
      </c>
      <c r="J29">
        <v>3.1962999999999999</v>
      </c>
      <c r="K29" s="8" t="s">
        <v>772</v>
      </c>
      <c r="L29" s="8" t="s">
        <v>773</v>
      </c>
      <c r="M29">
        <v>0</v>
      </c>
      <c r="N29">
        <v>0</v>
      </c>
      <c r="O29">
        <v>5.3974210000000002E-2</v>
      </c>
      <c r="P29">
        <v>-1.6305299999999998E-2</v>
      </c>
      <c r="Q29">
        <v>1.6305299999999998E-2</v>
      </c>
      <c r="R29">
        <v>-1.65569E-3</v>
      </c>
      <c r="S29">
        <v>-1.9950066799999999</v>
      </c>
      <c r="T29">
        <v>3.0732699999999999E-3</v>
      </c>
      <c r="U29">
        <v>1.99500905</v>
      </c>
      <c r="V29">
        <v>1.125162E-2</v>
      </c>
      <c r="W29">
        <v>-1.174472E-2</v>
      </c>
      <c r="X29">
        <v>0</v>
      </c>
      <c r="Y29" s="8" t="s">
        <v>774</v>
      </c>
      <c r="Z29" s="8" t="s">
        <v>775</v>
      </c>
      <c r="AA29" s="8" t="s">
        <v>776</v>
      </c>
    </row>
    <row r="30" spans="1:27" x14ac:dyDescent="0.25">
      <c r="A30">
        <v>2</v>
      </c>
      <c r="B30">
        <v>0.14499999999999999</v>
      </c>
      <c r="C30">
        <v>29</v>
      </c>
      <c r="D30">
        <v>-0.93340000000000001</v>
      </c>
      <c r="E30">
        <v>-6.3399999999999998E-2</v>
      </c>
      <c r="F30">
        <v>9.1336210000000001E-2</v>
      </c>
      <c r="G30">
        <v>0.93551424000000005</v>
      </c>
      <c r="H30">
        <v>1</v>
      </c>
      <c r="I30">
        <v>0</v>
      </c>
      <c r="J30">
        <v>3.2094999999999998</v>
      </c>
      <c r="K30" s="8" t="s">
        <v>777</v>
      </c>
      <c r="L30" s="8" t="s">
        <v>778</v>
      </c>
      <c r="M30">
        <v>0</v>
      </c>
      <c r="N30">
        <v>0</v>
      </c>
      <c r="O30">
        <v>6.4485760000000003E-2</v>
      </c>
      <c r="P30">
        <v>-1.793382E-2</v>
      </c>
      <c r="Q30">
        <v>1.793382E-2</v>
      </c>
      <c r="R30">
        <v>-1.62853E-3</v>
      </c>
      <c r="S30">
        <v>-1.9950066799999999</v>
      </c>
      <c r="T30">
        <v>3.0732699999999999E-3</v>
      </c>
      <c r="U30">
        <v>1.99500905</v>
      </c>
      <c r="V30">
        <v>1.2185649999999999E-2</v>
      </c>
      <c r="W30">
        <v>-1.30969E-2</v>
      </c>
      <c r="X30">
        <v>0</v>
      </c>
      <c r="Y30" s="8" t="s">
        <v>779</v>
      </c>
      <c r="Z30" s="8" t="s">
        <v>780</v>
      </c>
      <c r="AA30" s="8" t="s">
        <v>781</v>
      </c>
    </row>
    <row r="31" spans="1:27" x14ac:dyDescent="0.25">
      <c r="A31">
        <v>2</v>
      </c>
      <c r="B31">
        <v>0.15</v>
      </c>
      <c r="C31">
        <v>30</v>
      </c>
      <c r="D31">
        <v>-0.92120000000000002</v>
      </c>
      <c r="E31">
        <v>-7.6499999999999999E-2</v>
      </c>
      <c r="F31">
        <v>9.9426810000000004E-2</v>
      </c>
      <c r="G31">
        <v>0.92434925999999995</v>
      </c>
      <c r="H31">
        <v>1</v>
      </c>
      <c r="I31">
        <v>0</v>
      </c>
      <c r="J31">
        <v>3.2244999999999999</v>
      </c>
      <c r="K31" s="8" t="s">
        <v>782</v>
      </c>
      <c r="L31" s="8" t="s">
        <v>783</v>
      </c>
      <c r="M31">
        <v>0</v>
      </c>
      <c r="N31">
        <v>0</v>
      </c>
      <c r="O31">
        <v>7.5650739999999994E-2</v>
      </c>
      <c r="P31">
        <v>-1.952241E-2</v>
      </c>
      <c r="Q31">
        <v>1.952241E-2</v>
      </c>
      <c r="R31">
        <v>-1.58859E-3</v>
      </c>
      <c r="S31">
        <v>-1.9950066799999999</v>
      </c>
      <c r="T31">
        <v>3.0732699999999999E-3</v>
      </c>
      <c r="U31">
        <v>1.99500905</v>
      </c>
      <c r="V31">
        <v>1.30563E-2</v>
      </c>
      <c r="W31">
        <v>-1.444845E-2</v>
      </c>
      <c r="X31">
        <v>0</v>
      </c>
      <c r="Y31" s="8" t="s">
        <v>784</v>
      </c>
      <c r="Z31" s="8" t="s">
        <v>785</v>
      </c>
      <c r="AA31" s="8" t="s">
        <v>786</v>
      </c>
    </row>
    <row r="32" spans="1:27" x14ac:dyDescent="0.25">
      <c r="A32">
        <v>2</v>
      </c>
      <c r="B32">
        <v>0.155</v>
      </c>
      <c r="C32">
        <v>31</v>
      </c>
      <c r="D32">
        <v>-0.90810000000000002</v>
      </c>
      <c r="E32">
        <v>-9.0999999999999998E-2</v>
      </c>
      <c r="F32">
        <v>0.10725496</v>
      </c>
      <c r="G32">
        <v>0.91266550000000002</v>
      </c>
      <c r="H32">
        <v>1</v>
      </c>
      <c r="I32">
        <v>0</v>
      </c>
      <c r="J32">
        <v>3.2414999999999998</v>
      </c>
      <c r="K32" s="8" t="s">
        <v>787</v>
      </c>
      <c r="L32" s="8" t="s">
        <v>788</v>
      </c>
      <c r="M32">
        <v>0</v>
      </c>
      <c r="N32">
        <v>0</v>
      </c>
      <c r="O32">
        <v>8.7334499999999995E-2</v>
      </c>
      <c r="P32">
        <v>-2.1059459999999999E-2</v>
      </c>
      <c r="Q32">
        <v>2.1059459999999999E-2</v>
      </c>
      <c r="R32">
        <v>-1.5370500000000001E-3</v>
      </c>
      <c r="S32">
        <v>-1.9950066799999999</v>
      </c>
      <c r="T32">
        <v>3.0732699999999999E-3</v>
      </c>
      <c r="U32">
        <v>1.99500905</v>
      </c>
      <c r="V32">
        <v>1.385756E-2</v>
      </c>
      <c r="W32">
        <v>-1.5787909999999999E-2</v>
      </c>
      <c r="X32">
        <v>0</v>
      </c>
      <c r="Y32" s="8" t="s">
        <v>789</v>
      </c>
      <c r="Z32" s="8" t="s">
        <v>790</v>
      </c>
      <c r="AA32" s="8" t="s">
        <v>791</v>
      </c>
    </row>
    <row r="33" spans="1:27" x14ac:dyDescent="0.25">
      <c r="A33">
        <v>2</v>
      </c>
      <c r="B33">
        <v>0.16</v>
      </c>
      <c r="C33">
        <v>32</v>
      </c>
      <c r="D33">
        <v>-0.89429999999999998</v>
      </c>
      <c r="E33">
        <v>-0.10680000000000001</v>
      </c>
      <c r="F33">
        <v>0.11476755</v>
      </c>
      <c r="G33">
        <v>0.90061316000000002</v>
      </c>
      <c r="H33">
        <v>1</v>
      </c>
      <c r="I33">
        <v>0</v>
      </c>
      <c r="J33">
        <v>3.2604000000000002</v>
      </c>
      <c r="K33" s="8" t="s">
        <v>792</v>
      </c>
      <c r="L33" s="8" t="s">
        <v>793</v>
      </c>
      <c r="M33">
        <v>0</v>
      </c>
      <c r="N33">
        <v>0</v>
      </c>
      <c r="O33">
        <v>9.9386840000000004E-2</v>
      </c>
      <c r="P33">
        <v>-2.2534559999999999E-2</v>
      </c>
      <c r="Q33">
        <v>2.2534559999999999E-2</v>
      </c>
      <c r="R33">
        <v>-1.4751E-3</v>
      </c>
      <c r="S33">
        <v>-1.9950066799999999</v>
      </c>
      <c r="T33">
        <v>3.0732699999999999E-3</v>
      </c>
      <c r="U33">
        <v>1.99500905</v>
      </c>
      <c r="V33">
        <v>1.4585010000000001E-2</v>
      </c>
      <c r="W33">
        <v>-1.7104169999999998E-2</v>
      </c>
      <c r="X33">
        <v>0</v>
      </c>
      <c r="Y33" s="8" t="s">
        <v>794</v>
      </c>
      <c r="Z33" s="8" t="s">
        <v>795</v>
      </c>
      <c r="AA33" s="8" t="s">
        <v>796</v>
      </c>
    </row>
    <row r="34" spans="1:27" x14ac:dyDescent="0.25">
      <c r="A34">
        <v>2</v>
      </c>
      <c r="B34">
        <v>0.16500000000000001</v>
      </c>
      <c r="C34">
        <v>33</v>
      </c>
      <c r="D34">
        <v>-0.87970000000000004</v>
      </c>
      <c r="E34">
        <v>-0.1239</v>
      </c>
      <c r="F34">
        <v>0.12191736</v>
      </c>
      <c r="G34">
        <v>0.88835602000000002</v>
      </c>
      <c r="H34">
        <v>1</v>
      </c>
      <c r="I34">
        <v>0</v>
      </c>
      <c r="J34">
        <v>3.2814999999999999</v>
      </c>
      <c r="K34" s="8" t="s">
        <v>797</v>
      </c>
      <c r="L34" s="8" t="s">
        <v>798</v>
      </c>
      <c r="M34">
        <v>0</v>
      </c>
      <c r="N34">
        <v>0</v>
      </c>
      <c r="O34">
        <v>0.11164398</v>
      </c>
      <c r="P34">
        <v>-2.3938419999999998E-2</v>
      </c>
      <c r="Q34">
        <v>2.3938419999999998E-2</v>
      </c>
      <c r="R34">
        <v>-1.40386E-3</v>
      </c>
      <c r="S34">
        <v>-1.9950066799999999</v>
      </c>
      <c r="T34">
        <v>3.0732699999999999E-3</v>
      </c>
      <c r="U34">
        <v>1.99500905</v>
      </c>
      <c r="V34">
        <v>1.523571E-2</v>
      </c>
      <c r="W34">
        <v>-1.8386530000000002E-2</v>
      </c>
      <c r="X34">
        <v>0</v>
      </c>
      <c r="Y34" s="8" t="s">
        <v>799</v>
      </c>
      <c r="Z34" s="8" t="s">
        <v>800</v>
      </c>
      <c r="AA34" s="8" t="s">
        <v>801</v>
      </c>
    </row>
    <row r="35" spans="1:27" x14ac:dyDescent="0.25">
      <c r="A35">
        <v>2</v>
      </c>
      <c r="B35">
        <v>0.17</v>
      </c>
      <c r="C35">
        <v>34</v>
      </c>
      <c r="D35">
        <v>-0.86439999999999995</v>
      </c>
      <c r="E35">
        <v>-0.14230000000000001</v>
      </c>
      <c r="F35">
        <v>0.12866285</v>
      </c>
      <c r="G35">
        <v>0.87606914999999996</v>
      </c>
      <c r="H35">
        <v>1</v>
      </c>
      <c r="I35">
        <v>0</v>
      </c>
      <c r="J35">
        <v>3.3047</v>
      </c>
      <c r="K35" s="8" t="s">
        <v>802</v>
      </c>
      <c r="L35" s="8" t="s">
        <v>803</v>
      </c>
      <c r="M35">
        <v>0</v>
      </c>
      <c r="N35">
        <v>0</v>
      </c>
      <c r="O35">
        <v>0.12393085</v>
      </c>
      <c r="P35">
        <v>-2.526289E-2</v>
      </c>
      <c r="Q35">
        <v>2.526289E-2</v>
      </c>
      <c r="R35">
        <v>-1.3244699999999999E-3</v>
      </c>
      <c r="S35">
        <v>-1.9950066799999999</v>
      </c>
      <c r="T35">
        <v>3.0732699999999999E-3</v>
      </c>
      <c r="U35">
        <v>1.99500905</v>
      </c>
      <c r="V35">
        <v>1.580811E-2</v>
      </c>
      <c r="W35">
        <v>-1.9624880000000001E-2</v>
      </c>
      <c r="X35">
        <v>0</v>
      </c>
      <c r="Y35" s="8" t="s">
        <v>804</v>
      </c>
      <c r="Z35" s="8" t="s">
        <v>805</v>
      </c>
      <c r="AA35" s="8" t="s">
        <v>806</v>
      </c>
    </row>
    <row r="36" spans="1:27" x14ac:dyDescent="0.25">
      <c r="A36">
        <v>2</v>
      </c>
      <c r="B36">
        <v>0.17499999999999999</v>
      </c>
      <c r="C36">
        <v>35</v>
      </c>
      <c r="D36">
        <v>-0.84860000000000002</v>
      </c>
      <c r="E36">
        <v>-0.16189999999999999</v>
      </c>
      <c r="F36">
        <v>0.13496801999999999</v>
      </c>
      <c r="G36">
        <v>0.86393624999999996</v>
      </c>
      <c r="H36">
        <v>1</v>
      </c>
      <c r="I36">
        <v>0</v>
      </c>
      <c r="J36">
        <v>3.3300999999999998</v>
      </c>
      <c r="K36" s="8" t="s">
        <v>807</v>
      </c>
      <c r="L36" s="8" t="s">
        <v>808</v>
      </c>
      <c r="M36">
        <v>0</v>
      </c>
      <c r="N36">
        <v>0</v>
      </c>
      <c r="O36">
        <v>0.13606375000000001</v>
      </c>
      <c r="P36">
        <v>-2.6500909999999999E-2</v>
      </c>
      <c r="Q36">
        <v>2.6500909999999999E-2</v>
      </c>
      <c r="R36">
        <v>-1.23802E-3</v>
      </c>
      <c r="S36">
        <v>-1.9950066799999999</v>
      </c>
      <c r="T36">
        <v>3.0732699999999999E-3</v>
      </c>
      <c r="U36">
        <v>1.99500905</v>
      </c>
      <c r="V36">
        <v>1.6301920000000001E-2</v>
      </c>
      <c r="W36">
        <v>-2.0809729999999999E-2</v>
      </c>
      <c r="X36">
        <v>0</v>
      </c>
      <c r="Y36" s="8" t="s">
        <v>809</v>
      </c>
      <c r="Z36" s="8" t="s">
        <v>810</v>
      </c>
      <c r="AA36" s="8" t="s">
        <v>811</v>
      </c>
    </row>
    <row r="37" spans="1:27" x14ac:dyDescent="0.25">
      <c r="A37">
        <v>2</v>
      </c>
      <c r="B37">
        <v>0.18</v>
      </c>
      <c r="C37">
        <v>36</v>
      </c>
      <c r="D37">
        <v>-0.83230000000000004</v>
      </c>
      <c r="E37">
        <v>-0.1827</v>
      </c>
      <c r="F37">
        <v>0.14080211000000001</v>
      </c>
      <c r="G37">
        <v>0.85214663999999996</v>
      </c>
      <c r="H37">
        <v>1</v>
      </c>
      <c r="I37">
        <v>0</v>
      </c>
      <c r="J37">
        <v>3.3576999999999999</v>
      </c>
      <c r="K37" s="8" t="s">
        <v>812</v>
      </c>
      <c r="L37" s="8" t="s">
        <v>813</v>
      </c>
      <c r="M37">
        <v>0</v>
      </c>
      <c r="N37">
        <v>0</v>
      </c>
      <c r="O37">
        <v>0.14785335999999999</v>
      </c>
      <c r="P37">
        <v>-2.764643E-2</v>
      </c>
      <c r="Q37">
        <v>2.764643E-2</v>
      </c>
      <c r="R37">
        <v>-1.1455199999999999E-3</v>
      </c>
      <c r="S37">
        <v>-1.9950066799999999</v>
      </c>
      <c r="T37">
        <v>3.0732699999999999E-3</v>
      </c>
      <c r="U37">
        <v>1.99500905</v>
      </c>
      <c r="V37">
        <v>1.6717920000000001E-2</v>
      </c>
      <c r="W37">
        <v>-2.193231E-2</v>
      </c>
      <c r="X37">
        <v>0</v>
      </c>
      <c r="Y37" s="8" t="s">
        <v>814</v>
      </c>
      <c r="Z37" s="8" t="s">
        <v>815</v>
      </c>
      <c r="AA37" s="8" t="s">
        <v>816</v>
      </c>
    </row>
    <row r="38" spans="1:27" x14ac:dyDescent="0.25">
      <c r="A38">
        <v>2</v>
      </c>
      <c r="B38">
        <v>0.185</v>
      </c>
      <c r="C38">
        <v>37</v>
      </c>
      <c r="D38">
        <v>-0.81559999999999999</v>
      </c>
      <c r="E38">
        <v>-0.2046</v>
      </c>
      <c r="F38">
        <v>0.14613938000000001</v>
      </c>
      <c r="G38">
        <v>0.84089175999999999</v>
      </c>
      <c r="H38">
        <v>1</v>
      </c>
      <c r="I38">
        <v>0</v>
      </c>
      <c r="J38">
        <v>3.3874</v>
      </c>
      <c r="K38" s="8" t="s">
        <v>817</v>
      </c>
      <c r="L38" s="8" t="s">
        <v>818</v>
      </c>
      <c r="M38">
        <v>0</v>
      </c>
      <c r="N38">
        <v>0</v>
      </c>
      <c r="O38">
        <v>0.15910824000000001</v>
      </c>
      <c r="P38">
        <v>-2.8694399999999998E-2</v>
      </c>
      <c r="Q38">
        <v>2.8694399999999998E-2</v>
      </c>
      <c r="R38">
        <v>-1.0479700000000001E-3</v>
      </c>
      <c r="S38">
        <v>-1.9950066799999999</v>
      </c>
      <c r="T38">
        <v>3.0732699999999999E-3</v>
      </c>
      <c r="U38">
        <v>1.99500905</v>
      </c>
      <c r="V38">
        <v>1.7057840000000001E-2</v>
      </c>
      <c r="W38">
        <v>-2.2984649999999999E-2</v>
      </c>
      <c r="X38">
        <v>0</v>
      </c>
      <c r="Y38" s="8" t="s">
        <v>819</v>
      </c>
      <c r="Z38" s="8" t="s">
        <v>820</v>
      </c>
      <c r="AA38" s="8" t="s">
        <v>821</v>
      </c>
    </row>
    <row r="39" spans="1:27" x14ac:dyDescent="0.25">
      <c r="A39">
        <v>2</v>
      </c>
      <c r="B39">
        <v>0.19</v>
      </c>
      <c r="C39">
        <v>38</v>
      </c>
      <c r="D39">
        <v>-0.79859999999999998</v>
      </c>
      <c r="E39">
        <v>-0.2276</v>
      </c>
      <c r="F39">
        <v>0.15095871999999999</v>
      </c>
      <c r="G39">
        <v>0.83036135</v>
      </c>
      <c r="H39">
        <v>1</v>
      </c>
      <c r="I39">
        <v>0</v>
      </c>
      <c r="J39">
        <v>3.4192999999999998</v>
      </c>
      <c r="K39" s="8" t="s">
        <v>822</v>
      </c>
      <c r="L39" s="8" t="s">
        <v>823</v>
      </c>
      <c r="M39">
        <v>0</v>
      </c>
      <c r="N39">
        <v>0</v>
      </c>
      <c r="O39">
        <v>0.16963865</v>
      </c>
      <c r="P39">
        <v>-2.9640670000000001E-2</v>
      </c>
      <c r="Q39">
        <v>2.9640670000000001E-2</v>
      </c>
      <c r="R39">
        <v>-9.4627000000000003E-4</v>
      </c>
      <c r="S39">
        <v>-1.9950066799999999</v>
      </c>
      <c r="T39">
        <v>3.0732699999999999E-3</v>
      </c>
      <c r="U39">
        <v>1.99500905</v>
      </c>
      <c r="V39">
        <v>1.7324180000000002E-2</v>
      </c>
      <c r="W39">
        <v>-2.3959609999999999E-2</v>
      </c>
      <c r="X39">
        <v>0</v>
      </c>
      <c r="Y39" s="8" t="s">
        <v>824</v>
      </c>
      <c r="Z39" s="8" t="s">
        <v>825</v>
      </c>
      <c r="AA39" s="8" t="s">
        <v>826</v>
      </c>
    </row>
    <row r="40" spans="1:27" x14ac:dyDescent="0.25">
      <c r="A40">
        <v>2</v>
      </c>
      <c r="B40">
        <v>0.19500000000000001</v>
      </c>
      <c r="C40">
        <v>39</v>
      </c>
      <c r="D40">
        <v>-0.78120000000000001</v>
      </c>
      <c r="E40">
        <v>-0.25159999999999999</v>
      </c>
      <c r="F40">
        <v>0.1552433</v>
      </c>
      <c r="G40">
        <v>0.82073925999999997</v>
      </c>
      <c r="H40">
        <v>1</v>
      </c>
      <c r="I40">
        <v>0</v>
      </c>
      <c r="J40">
        <v>3.4531000000000001</v>
      </c>
      <c r="K40" s="8" t="s">
        <v>827</v>
      </c>
      <c r="L40" s="8" t="s">
        <v>828</v>
      </c>
      <c r="M40">
        <v>0</v>
      </c>
      <c r="N40">
        <v>0</v>
      </c>
      <c r="O40">
        <v>0.17926074</v>
      </c>
      <c r="P40">
        <v>-3.0481950000000001E-2</v>
      </c>
      <c r="Q40">
        <v>3.0481950000000001E-2</v>
      </c>
      <c r="R40">
        <v>-8.4128000000000002E-4</v>
      </c>
      <c r="S40">
        <v>-1.9950066799999999</v>
      </c>
      <c r="T40">
        <v>3.0732699999999999E-3</v>
      </c>
      <c r="U40">
        <v>1.99500905</v>
      </c>
      <c r="V40">
        <v>1.7520020000000001E-2</v>
      </c>
      <c r="W40">
        <v>-2.485089E-2</v>
      </c>
      <c r="X40">
        <v>0</v>
      </c>
      <c r="Y40" s="8" t="s">
        <v>829</v>
      </c>
      <c r="Z40" s="8" t="s">
        <v>830</v>
      </c>
      <c r="AA40" s="8" t="s">
        <v>831</v>
      </c>
    </row>
    <row r="41" spans="1:27" x14ac:dyDescent="0.25">
      <c r="A41">
        <v>2</v>
      </c>
      <c r="B41">
        <v>0.2</v>
      </c>
      <c r="C41">
        <v>40</v>
      </c>
      <c r="D41">
        <v>-0.76370000000000005</v>
      </c>
      <c r="E41">
        <v>-0.27639999999999998</v>
      </c>
      <c r="F41">
        <v>0.15898027000000001</v>
      </c>
      <c r="G41">
        <v>0.81219889999999995</v>
      </c>
      <c r="H41">
        <v>1</v>
      </c>
      <c r="I41">
        <v>0</v>
      </c>
      <c r="J41">
        <v>3.4889000000000001</v>
      </c>
      <c r="K41" s="8" t="s">
        <v>832</v>
      </c>
      <c r="L41" s="8" t="s">
        <v>833</v>
      </c>
      <c r="M41">
        <v>0</v>
      </c>
      <c r="N41">
        <v>0</v>
      </c>
      <c r="O41">
        <v>0.1878011</v>
      </c>
      <c r="P41">
        <v>-3.1215699999999999E-2</v>
      </c>
      <c r="Q41">
        <v>3.1215699999999999E-2</v>
      </c>
      <c r="R41">
        <v>-7.3375000000000003E-4</v>
      </c>
      <c r="S41">
        <v>-1.9950066799999999</v>
      </c>
      <c r="T41">
        <v>3.0732699999999999E-3</v>
      </c>
      <c r="U41">
        <v>1.99500905</v>
      </c>
      <c r="V41">
        <v>1.7648879999999999E-2</v>
      </c>
      <c r="W41">
        <v>-2.565307E-2</v>
      </c>
      <c r="X41">
        <v>0</v>
      </c>
      <c r="Y41" s="8" t="s">
        <v>834</v>
      </c>
      <c r="Z41" s="8" t="s">
        <v>835</v>
      </c>
      <c r="AA41" s="8" t="s">
        <v>836</v>
      </c>
    </row>
    <row r="42" spans="1:27" x14ac:dyDescent="0.25">
      <c r="A42">
        <v>2</v>
      </c>
      <c r="B42">
        <v>0.20499999999999999</v>
      </c>
      <c r="C42">
        <v>41</v>
      </c>
      <c r="D42">
        <v>-0.74609999999999999</v>
      </c>
      <c r="E42">
        <v>-0.30209999999999998</v>
      </c>
      <c r="F42">
        <v>0.16216032999999999</v>
      </c>
      <c r="G42">
        <v>0.80489871999999996</v>
      </c>
      <c r="H42">
        <v>1</v>
      </c>
      <c r="I42">
        <v>0</v>
      </c>
      <c r="J42">
        <v>3.5263</v>
      </c>
      <c r="K42" s="8" t="s">
        <v>837</v>
      </c>
      <c r="L42" s="8" t="s">
        <v>838</v>
      </c>
      <c r="M42">
        <v>0</v>
      </c>
      <c r="N42">
        <v>0</v>
      </c>
      <c r="O42">
        <v>0.19510127999999999</v>
      </c>
      <c r="P42">
        <v>-3.1840109999999998E-2</v>
      </c>
      <c r="Q42">
        <v>3.1840109999999998E-2</v>
      </c>
      <c r="R42">
        <v>-6.244E-4</v>
      </c>
      <c r="S42">
        <v>-1.9950066799999999</v>
      </c>
      <c r="T42">
        <v>3.0732699999999999E-3</v>
      </c>
      <c r="U42">
        <v>1.99500905</v>
      </c>
      <c r="V42">
        <v>1.7714540000000001E-2</v>
      </c>
      <c r="W42">
        <v>-2.6361599999999999E-2</v>
      </c>
      <c r="X42">
        <v>0</v>
      </c>
      <c r="Y42" s="8" t="s">
        <v>839</v>
      </c>
      <c r="Z42" s="8" t="s">
        <v>840</v>
      </c>
      <c r="AA42" s="8" t="s">
        <v>841</v>
      </c>
    </row>
    <row r="43" spans="1:27" x14ac:dyDescent="0.25">
      <c r="A43">
        <v>2</v>
      </c>
      <c r="B43">
        <v>0.21</v>
      </c>
      <c r="C43">
        <v>42</v>
      </c>
      <c r="D43">
        <v>-0.72829999999999995</v>
      </c>
      <c r="E43">
        <v>-0.32840000000000003</v>
      </c>
      <c r="F43">
        <v>0.16477744</v>
      </c>
      <c r="G43">
        <v>0.79897761</v>
      </c>
      <c r="H43">
        <v>1</v>
      </c>
      <c r="I43">
        <v>0</v>
      </c>
      <c r="J43">
        <v>3.5651999999999999</v>
      </c>
      <c r="K43" s="8" t="s">
        <v>842</v>
      </c>
      <c r="L43" s="8" t="s">
        <v>843</v>
      </c>
      <c r="M43">
        <v>0</v>
      </c>
      <c r="N43">
        <v>0</v>
      </c>
      <c r="O43">
        <v>0.20102239</v>
      </c>
      <c r="P43">
        <v>-3.2353970000000003E-2</v>
      </c>
      <c r="Q43">
        <v>3.2353970000000003E-2</v>
      </c>
      <c r="R43">
        <v>-5.1387000000000004E-4</v>
      </c>
      <c r="S43">
        <v>-1.9950066799999999</v>
      </c>
      <c r="T43">
        <v>3.0732699999999999E-3</v>
      </c>
      <c r="U43">
        <v>1.99500905</v>
      </c>
      <c r="V43">
        <v>1.7720969999999999E-2</v>
      </c>
      <c r="W43">
        <v>-2.697275E-2</v>
      </c>
      <c r="X43">
        <v>0</v>
      </c>
      <c r="Y43" s="8" t="s">
        <v>844</v>
      </c>
      <c r="Z43" s="8" t="s">
        <v>845</v>
      </c>
      <c r="AA43" s="8" t="s">
        <v>846</v>
      </c>
    </row>
    <row r="44" spans="1:27" x14ac:dyDescent="0.25">
      <c r="A44">
        <v>2</v>
      </c>
      <c r="B44">
        <v>0.215</v>
      </c>
      <c r="C44">
        <v>43</v>
      </c>
      <c r="D44">
        <v>-0.71060000000000001</v>
      </c>
      <c r="E44">
        <v>-0.35539999999999999</v>
      </c>
      <c r="F44">
        <v>0.16682849999999999</v>
      </c>
      <c r="G44">
        <v>0.79455074999999997</v>
      </c>
      <c r="H44">
        <v>1</v>
      </c>
      <c r="I44">
        <v>0</v>
      </c>
      <c r="J44">
        <v>3.6053999999999999</v>
      </c>
      <c r="K44" s="8" t="s">
        <v>847</v>
      </c>
      <c r="L44" s="8" t="s">
        <v>848</v>
      </c>
      <c r="M44">
        <v>0</v>
      </c>
      <c r="N44">
        <v>0</v>
      </c>
      <c r="O44">
        <v>0.20544925</v>
      </c>
      <c r="P44">
        <v>-3.27567E-2</v>
      </c>
      <c r="Q44">
        <v>3.27567E-2</v>
      </c>
      <c r="R44">
        <v>-4.0272000000000002E-4</v>
      </c>
      <c r="S44">
        <v>-1.9950066799999999</v>
      </c>
      <c r="T44">
        <v>3.0732699999999999E-3</v>
      </c>
      <c r="U44">
        <v>1.99500905</v>
      </c>
      <c r="V44">
        <v>1.76721E-2</v>
      </c>
      <c r="W44">
        <v>-2.7483629999999998E-2</v>
      </c>
      <c r="X44">
        <v>0</v>
      </c>
      <c r="Y44" s="8" t="s">
        <v>849</v>
      </c>
      <c r="Z44" s="8" t="s">
        <v>850</v>
      </c>
      <c r="AA44" s="8" t="s">
        <v>851</v>
      </c>
    </row>
    <row r="45" spans="1:27" x14ac:dyDescent="0.25">
      <c r="A45">
        <v>2</v>
      </c>
      <c r="B45">
        <v>0.22</v>
      </c>
      <c r="C45">
        <v>44</v>
      </c>
      <c r="D45">
        <v>-0.69299999999999995</v>
      </c>
      <c r="E45">
        <v>-0.38290000000000002</v>
      </c>
      <c r="F45">
        <v>0.16831307000000001</v>
      </c>
      <c r="G45">
        <v>0.79170600000000002</v>
      </c>
      <c r="H45">
        <v>1</v>
      </c>
      <c r="I45">
        <v>0</v>
      </c>
      <c r="J45">
        <v>3.6463999999999999</v>
      </c>
      <c r="K45" s="8" t="s">
        <v>852</v>
      </c>
      <c r="L45" s="8" t="s">
        <v>853</v>
      </c>
      <c r="M45">
        <v>0</v>
      </c>
      <c r="N45">
        <v>0</v>
      </c>
      <c r="O45">
        <v>0.20829400000000001</v>
      </c>
      <c r="P45">
        <v>-3.3048189999999998E-2</v>
      </c>
      <c r="Q45">
        <v>3.3048189999999998E-2</v>
      </c>
      <c r="R45">
        <v>-2.9148999999999999E-4</v>
      </c>
      <c r="S45">
        <v>-1.9950066799999999</v>
      </c>
      <c r="T45">
        <v>3.0732699999999999E-3</v>
      </c>
      <c r="U45">
        <v>1.99500905</v>
      </c>
      <c r="V45">
        <v>1.757181E-2</v>
      </c>
      <c r="W45">
        <v>-2.7892119999999999E-2</v>
      </c>
      <c r="X45">
        <v>0</v>
      </c>
      <c r="Y45" s="8" t="s">
        <v>854</v>
      </c>
      <c r="Z45" s="8" t="s">
        <v>855</v>
      </c>
      <c r="AA45" s="8" t="s">
        <v>856</v>
      </c>
    </row>
    <row r="46" spans="1:27" x14ac:dyDescent="0.25">
      <c r="A46">
        <v>2</v>
      </c>
      <c r="B46">
        <v>0.22500000000000001</v>
      </c>
      <c r="C46">
        <v>45</v>
      </c>
      <c r="D46">
        <v>-0.6754</v>
      </c>
      <c r="E46">
        <v>-0.4108</v>
      </c>
      <c r="F46">
        <v>0.16923311999999999</v>
      </c>
      <c r="G46">
        <v>0.79050116000000004</v>
      </c>
      <c r="H46">
        <v>1</v>
      </c>
      <c r="I46">
        <v>0</v>
      </c>
      <c r="J46">
        <v>3.6880000000000002</v>
      </c>
      <c r="K46" s="8" t="s">
        <v>857</v>
      </c>
      <c r="L46" s="8" t="s">
        <v>858</v>
      </c>
      <c r="M46">
        <v>0</v>
      </c>
      <c r="N46">
        <v>0</v>
      </c>
      <c r="O46">
        <v>0.20949883999999999</v>
      </c>
      <c r="P46">
        <v>-3.3228849999999997E-2</v>
      </c>
      <c r="Q46">
        <v>3.3228849999999997E-2</v>
      </c>
      <c r="R46">
        <v>-1.8065E-4</v>
      </c>
      <c r="S46">
        <v>-1.9950066799999999</v>
      </c>
      <c r="T46">
        <v>3.0732699999999999E-3</v>
      </c>
      <c r="U46">
        <v>1.99500905</v>
      </c>
      <c r="V46">
        <v>1.742382E-2</v>
      </c>
      <c r="W46">
        <v>-2.8196860000000001E-2</v>
      </c>
      <c r="X46">
        <v>0</v>
      </c>
      <c r="Y46" s="8" t="s">
        <v>859</v>
      </c>
      <c r="Z46" s="8" t="s">
        <v>860</v>
      </c>
      <c r="AA46" s="8" t="s">
        <v>861</v>
      </c>
    </row>
    <row r="47" spans="1:27" x14ac:dyDescent="0.25">
      <c r="A47">
        <v>2</v>
      </c>
      <c r="B47">
        <v>0.23</v>
      </c>
      <c r="C47">
        <v>46</v>
      </c>
      <c r="D47">
        <v>-0.65800000000000003</v>
      </c>
      <c r="E47">
        <v>-0.439</v>
      </c>
      <c r="F47">
        <v>0.16959287000000001</v>
      </c>
      <c r="G47">
        <v>0.79096235999999998</v>
      </c>
      <c r="H47">
        <v>1</v>
      </c>
      <c r="I47">
        <v>0</v>
      </c>
      <c r="J47">
        <v>3.73</v>
      </c>
      <c r="K47" s="8" t="s">
        <v>862</v>
      </c>
      <c r="L47" s="8" t="s">
        <v>863</v>
      </c>
      <c r="M47">
        <v>0</v>
      </c>
      <c r="N47">
        <v>0</v>
      </c>
      <c r="O47">
        <v>0.20903764</v>
      </c>
      <c r="P47">
        <v>-3.3299479999999999E-2</v>
      </c>
      <c r="Q47">
        <v>3.3299479999999999E-2</v>
      </c>
      <c r="R47">
        <v>-7.0640000000000001E-5</v>
      </c>
      <c r="S47">
        <v>-1.9950066799999999</v>
      </c>
      <c r="T47">
        <v>3.0732699999999999E-3</v>
      </c>
      <c r="U47">
        <v>1.99500905</v>
      </c>
      <c r="V47">
        <v>1.72316E-2</v>
      </c>
      <c r="W47">
        <v>-2.8397189999999999E-2</v>
      </c>
      <c r="X47">
        <v>0</v>
      </c>
      <c r="Y47" s="8" t="s">
        <v>864</v>
      </c>
      <c r="Z47" s="8" t="s">
        <v>865</v>
      </c>
      <c r="AA47" s="8" t="s">
        <v>866</v>
      </c>
    </row>
    <row r="48" spans="1:27" x14ac:dyDescent="0.25">
      <c r="A48">
        <v>2</v>
      </c>
      <c r="B48">
        <v>0.23499999999999999</v>
      </c>
      <c r="C48">
        <v>47</v>
      </c>
      <c r="D48">
        <v>-0.64070000000000005</v>
      </c>
      <c r="E48">
        <v>-0.46739999999999998</v>
      </c>
      <c r="F48">
        <v>0.16939857</v>
      </c>
      <c r="G48">
        <v>0.79308361999999999</v>
      </c>
      <c r="H48">
        <v>1</v>
      </c>
      <c r="I48">
        <v>0</v>
      </c>
      <c r="J48">
        <v>3.7717999999999998</v>
      </c>
      <c r="K48" s="8" t="s">
        <v>867</v>
      </c>
      <c r="L48" s="8" t="s">
        <v>868</v>
      </c>
      <c r="M48">
        <v>0</v>
      </c>
      <c r="N48">
        <v>0</v>
      </c>
      <c r="O48">
        <v>0.20691638000000001</v>
      </c>
      <c r="P48">
        <v>-3.3261329999999999E-2</v>
      </c>
      <c r="Q48">
        <v>3.3261329999999999E-2</v>
      </c>
      <c r="R48">
        <v>3.8149999999999999E-5</v>
      </c>
      <c r="S48">
        <v>-1.9950066799999999</v>
      </c>
      <c r="T48">
        <v>3.0732699999999999E-3</v>
      </c>
      <c r="U48">
        <v>1.99500905</v>
      </c>
      <c r="V48">
        <v>1.699838E-2</v>
      </c>
      <c r="W48">
        <v>-2.84931E-2</v>
      </c>
      <c r="X48">
        <v>0</v>
      </c>
      <c r="Y48" s="8" t="s">
        <v>869</v>
      </c>
      <c r="Z48" s="8" t="s">
        <v>870</v>
      </c>
      <c r="AA48" s="8" t="s">
        <v>871</v>
      </c>
    </row>
    <row r="49" spans="1:27" x14ac:dyDescent="0.25">
      <c r="A49">
        <v>2</v>
      </c>
      <c r="B49">
        <v>0.24</v>
      </c>
      <c r="C49">
        <v>48</v>
      </c>
      <c r="D49">
        <v>-0.62370000000000003</v>
      </c>
      <c r="E49">
        <v>-0.49590000000000001</v>
      </c>
      <c r="F49">
        <v>0.16865843</v>
      </c>
      <c r="G49">
        <v>0.79682774000000001</v>
      </c>
      <c r="H49">
        <v>1</v>
      </c>
      <c r="I49">
        <v>0</v>
      </c>
      <c r="J49">
        <v>3.8132999999999999</v>
      </c>
      <c r="K49" s="8" t="s">
        <v>872</v>
      </c>
      <c r="L49" s="8" t="s">
        <v>873</v>
      </c>
      <c r="M49">
        <v>0</v>
      </c>
      <c r="N49">
        <v>0</v>
      </c>
      <c r="O49">
        <v>0.20317225999999999</v>
      </c>
      <c r="P49">
        <v>-3.3116E-2</v>
      </c>
      <c r="Q49">
        <v>3.3116E-2</v>
      </c>
      <c r="R49">
        <v>1.4532999999999999E-4</v>
      </c>
      <c r="S49">
        <v>-1.9950066799999999</v>
      </c>
      <c r="T49">
        <v>3.0732699999999999E-3</v>
      </c>
      <c r="U49">
        <v>1.99500905</v>
      </c>
      <c r="V49">
        <v>1.672707E-2</v>
      </c>
      <c r="W49">
        <v>-2.848523E-2</v>
      </c>
      <c r="X49">
        <v>0</v>
      </c>
      <c r="Y49" s="8" t="s">
        <v>874</v>
      </c>
      <c r="Z49" s="8" t="s">
        <v>875</v>
      </c>
      <c r="AA49" s="8" t="s">
        <v>876</v>
      </c>
    </row>
    <row r="50" spans="1:27" x14ac:dyDescent="0.25">
      <c r="A50">
        <v>2</v>
      </c>
      <c r="B50">
        <v>0.245</v>
      </c>
      <c r="C50">
        <v>49</v>
      </c>
      <c r="D50">
        <v>-0.60699999999999998</v>
      </c>
      <c r="E50">
        <v>-0.52439999999999998</v>
      </c>
      <c r="F50">
        <v>0.16738253</v>
      </c>
      <c r="G50">
        <v>0.80212837000000003</v>
      </c>
      <c r="H50">
        <v>1</v>
      </c>
      <c r="I50">
        <v>0</v>
      </c>
      <c r="J50">
        <v>3.8540999999999999</v>
      </c>
      <c r="K50" s="8" t="s">
        <v>877</v>
      </c>
      <c r="L50" s="8" t="s">
        <v>878</v>
      </c>
      <c r="M50">
        <v>0</v>
      </c>
      <c r="N50">
        <v>0</v>
      </c>
      <c r="O50">
        <v>0.19787162999999999</v>
      </c>
      <c r="P50">
        <v>-3.2865480000000002E-2</v>
      </c>
      <c r="Q50">
        <v>3.2865480000000002E-2</v>
      </c>
      <c r="R50">
        <v>2.5052000000000001E-4</v>
      </c>
      <c r="S50">
        <v>-1.9950066799999999</v>
      </c>
      <c r="T50">
        <v>3.0732699999999999E-3</v>
      </c>
      <c r="U50">
        <v>1.99500905</v>
      </c>
      <c r="V50">
        <v>1.642031E-2</v>
      </c>
      <c r="W50">
        <v>-2.8374799999999999E-2</v>
      </c>
      <c r="X50">
        <v>0</v>
      </c>
      <c r="Y50" s="8" t="s">
        <v>879</v>
      </c>
      <c r="Z50" s="8" t="s">
        <v>880</v>
      </c>
      <c r="AA50" s="8" t="s">
        <v>881</v>
      </c>
    </row>
    <row r="51" spans="1:27" x14ac:dyDescent="0.25">
      <c r="A51">
        <v>2</v>
      </c>
      <c r="B51">
        <v>0.25</v>
      </c>
      <c r="C51">
        <v>50</v>
      </c>
      <c r="D51">
        <v>-0.59060000000000001</v>
      </c>
      <c r="E51">
        <v>-0.55269999999999997</v>
      </c>
      <c r="F51">
        <v>0.16558278000000001</v>
      </c>
      <c r="G51">
        <v>0.80889303999999995</v>
      </c>
      <c r="H51">
        <v>1</v>
      </c>
      <c r="I51">
        <v>0</v>
      </c>
      <c r="J51">
        <v>3.8938999999999999</v>
      </c>
      <c r="K51" s="8" t="s">
        <v>882</v>
      </c>
      <c r="L51" s="8" t="s">
        <v>883</v>
      </c>
      <c r="M51">
        <v>0</v>
      </c>
      <c r="N51">
        <v>0</v>
      </c>
      <c r="O51">
        <v>0.19110695999999999</v>
      </c>
      <c r="P51">
        <v>-3.2512100000000002E-2</v>
      </c>
      <c r="Q51">
        <v>3.2512100000000002E-2</v>
      </c>
      <c r="R51">
        <v>3.5337999999999998E-4</v>
      </c>
      <c r="S51">
        <v>-1.9950066799999999</v>
      </c>
      <c r="T51">
        <v>3.0732699999999999E-3</v>
      </c>
      <c r="U51">
        <v>1.99500905</v>
      </c>
      <c r="V51">
        <v>1.608043E-2</v>
      </c>
      <c r="W51">
        <v>-2.8163589999999999E-2</v>
      </c>
      <c r="X51">
        <v>0</v>
      </c>
      <c r="Y51" s="8" t="s">
        <v>884</v>
      </c>
      <c r="Z51" s="8" t="s">
        <v>885</v>
      </c>
      <c r="AA51" s="8" t="s">
        <v>886</v>
      </c>
    </row>
    <row r="52" spans="1:27" x14ac:dyDescent="0.25">
      <c r="A52">
        <v>2</v>
      </c>
      <c r="B52">
        <v>0.255</v>
      </c>
      <c r="C52">
        <v>51</v>
      </c>
      <c r="D52">
        <v>-0.57450000000000001</v>
      </c>
      <c r="E52">
        <v>-0.58089999999999997</v>
      </c>
      <c r="F52">
        <v>0.16327285999999999</v>
      </c>
      <c r="G52">
        <v>0.81700700999999998</v>
      </c>
      <c r="H52">
        <v>1</v>
      </c>
      <c r="I52">
        <v>0</v>
      </c>
      <c r="J52">
        <v>3.9325000000000001</v>
      </c>
      <c r="K52" s="8" t="s">
        <v>887</v>
      </c>
      <c r="L52" s="8" t="s">
        <v>888</v>
      </c>
      <c r="M52">
        <v>0</v>
      </c>
      <c r="N52">
        <v>0</v>
      </c>
      <c r="O52">
        <v>0.18299298999999999</v>
      </c>
      <c r="P52">
        <v>-3.2058549999999998E-2</v>
      </c>
      <c r="Q52">
        <v>3.2058549999999998E-2</v>
      </c>
      <c r="R52">
        <v>4.5354999999999999E-4</v>
      </c>
      <c r="S52">
        <v>-1.9950066799999999</v>
      </c>
      <c r="T52">
        <v>3.0732699999999999E-3</v>
      </c>
      <c r="U52">
        <v>1.99500905</v>
      </c>
      <c r="V52">
        <v>1.5709500000000001E-2</v>
      </c>
      <c r="W52">
        <v>-2.7853889999999999E-2</v>
      </c>
      <c r="X52">
        <v>0</v>
      </c>
      <c r="Y52" s="8" t="s">
        <v>889</v>
      </c>
      <c r="Z52" s="8" t="s">
        <v>890</v>
      </c>
      <c r="AA52" s="8" t="s">
        <v>891</v>
      </c>
    </row>
    <row r="53" spans="1:27" x14ac:dyDescent="0.25">
      <c r="A53">
        <v>2</v>
      </c>
      <c r="B53">
        <v>0.26</v>
      </c>
      <c r="C53">
        <v>52</v>
      </c>
      <c r="D53">
        <v>-0.55879999999999996</v>
      </c>
      <c r="E53">
        <v>-0.60880000000000001</v>
      </c>
      <c r="F53">
        <v>0.16046826</v>
      </c>
      <c r="G53">
        <v>0.82633754999999998</v>
      </c>
      <c r="H53">
        <v>1</v>
      </c>
      <c r="I53">
        <v>0</v>
      </c>
      <c r="J53">
        <v>3.9698000000000002</v>
      </c>
      <c r="K53" s="8" t="s">
        <v>892</v>
      </c>
      <c r="L53" s="8" t="s">
        <v>893</v>
      </c>
      <c r="M53">
        <v>0</v>
      </c>
      <c r="N53">
        <v>0</v>
      </c>
      <c r="O53">
        <v>0.17366245</v>
      </c>
      <c r="P53">
        <v>-3.150787E-2</v>
      </c>
      <c r="Q53">
        <v>3.150787E-2</v>
      </c>
      <c r="R53">
        <v>5.5068000000000001E-4</v>
      </c>
      <c r="S53">
        <v>-1.9950066799999999</v>
      </c>
      <c r="T53">
        <v>3.0732699999999999E-3</v>
      </c>
      <c r="U53">
        <v>1.99500905</v>
      </c>
      <c r="V53">
        <v>1.5309359999999999E-2</v>
      </c>
      <c r="W53">
        <v>-2.7448509999999999E-2</v>
      </c>
      <c r="X53">
        <v>0</v>
      </c>
      <c r="Y53" s="8" t="s">
        <v>894</v>
      </c>
      <c r="Z53" s="8" t="s">
        <v>895</v>
      </c>
      <c r="AA53" s="8" t="s">
        <v>896</v>
      </c>
    </row>
    <row r="54" spans="1:27" x14ac:dyDescent="0.25">
      <c r="A54">
        <v>2</v>
      </c>
      <c r="B54">
        <v>0.26500000000000001</v>
      </c>
      <c r="C54">
        <v>53</v>
      </c>
      <c r="D54">
        <v>-0.54349999999999998</v>
      </c>
      <c r="E54">
        <v>-0.63619999999999999</v>
      </c>
      <c r="F54">
        <v>0.15718626999999999</v>
      </c>
      <c r="G54">
        <v>0.83673836999999995</v>
      </c>
      <c r="H54">
        <v>1</v>
      </c>
      <c r="I54">
        <v>0</v>
      </c>
      <c r="J54">
        <v>4.0053999999999998</v>
      </c>
      <c r="K54" s="8" t="s">
        <v>897</v>
      </c>
      <c r="L54" s="8" t="s">
        <v>898</v>
      </c>
      <c r="M54">
        <v>0</v>
      </c>
      <c r="N54">
        <v>0</v>
      </c>
      <c r="O54">
        <v>0.16326162999999999</v>
      </c>
      <c r="P54">
        <v>-3.0863450000000001E-2</v>
      </c>
      <c r="Q54">
        <v>3.0863450000000001E-2</v>
      </c>
      <c r="R54">
        <v>6.4442000000000004E-4</v>
      </c>
      <c r="S54">
        <v>-1.9950066799999999</v>
      </c>
      <c r="T54">
        <v>3.0732699999999999E-3</v>
      </c>
      <c r="U54">
        <v>1.99500905</v>
      </c>
      <c r="V54">
        <v>1.488163E-2</v>
      </c>
      <c r="W54">
        <v>-2.6950720000000001E-2</v>
      </c>
      <c r="X54">
        <v>0</v>
      </c>
      <c r="Y54" s="8" t="s">
        <v>899</v>
      </c>
      <c r="Z54" s="8" t="s">
        <v>900</v>
      </c>
      <c r="AA54" s="8" t="s">
        <v>901</v>
      </c>
    </row>
    <row r="55" spans="1:27" x14ac:dyDescent="0.25">
      <c r="A55">
        <v>2</v>
      </c>
      <c r="B55">
        <v>0.27</v>
      </c>
      <c r="C55">
        <v>54</v>
      </c>
      <c r="D55">
        <v>-0.52859999999999996</v>
      </c>
      <c r="E55">
        <v>-0.66320000000000001</v>
      </c>
      <c r="F55">
        <v>0.15344600999999999</v>
      </c>
      <c r="G55">
        <v>0.84805399999999997</v>
      </c>
      <c r="H55">
        <v>1</v>
      </c>
      <c r="I55">
        <v>0</v>
      </c>
      <c r="J55">
        <v>4.0393999999999997</v>
      </c>
      <c r="K55" s="8" t="s">
        <v>902</v>
      </c>
      <c r="L55" s="8" t="s">
        <v>903</v>
      </c>
      <c r="M55">
        <v>0</v>
      </c>
      <c r="N55">
        <v>0</v>
      </c>
      <c r="O55">
        <v>0.151946</v>
      </c>
      <c r="P55">
        <v>-3.0129050000000001E-2</v>
      </c>
      <c r="Q55">
        <v>3.0129050000000001E-2</v>
      </c>
      <c r="R55">
        <v>7.3439999999999996E-4</v>
      </c>
      <c r="S55">
        <v>-1.9950066799999999</v>
      </c>
      <c r="T55">
        <v>3.0732699999999999E-3</v>
      </c>
      <c r="U55">
        <v>1.99500905</v>
      </c>
      <c r="V55">
        <v>1.4427799999999999E-2</v>
      </c>
      <c r="W55">
        <v>-2.6364249999999999E-2</v>
      </c>
      <c r="X55">
        <v>0</v>
      </c>
      <c r="Y55" s="8" t="s">
        <v>904</v>
      </c>
      <c r="Z55" s="8" t="s">
        <v>905</v>
      </c>
      <c r="AA55" s="8" t="s">
        <v>906</v>
      </c>
    </row>
    <row r="56" spans="1:27" x14ac:dyDescent="0.25">
      <c r="A56">
        <v>2</v>
      </c>
      <c r="B56">
        <v>0.27500000000000002</v>
      </c>
      <c r="C56">
        <v>55</v>
      </c>
      <c r="D56">
        <v>-0.51419999999999999</v>
      </c>
      <c r="E56">
        <v>-0.6895</v>
      </c>
      <c r="F56">
        <v>0.14926845999999999</v>
      </c>
      <c r="G56">
        <v>0.86012385999999996</v>
      </c>
      <c r="H56">
        <v>1</v>
      </c>
      <c r="I56">
        <v>0</v>
      </c>
      <c r="J56">
        <v>4.0716000000000001</v>
      </c>
      <c r="K56" s="8" t="s">
        <v>907</v>
      </c>
      <c r="L56" s="8" t="s">
        <v>908</v>
      </c>
      <c r="M56">
        <v>0</v>
      </c>
      <c r="N56">
        <v>0</v>
      </c>
      <c r="O56">
        <v>0.13987614000000001</v>
      </c>
      <c r="P56">
        <v>-2.9308790000000001E-2</v>
      </c>
      <c r="Q56">
        <v>2.9308790000000001E-2</v>
      </c>
      <c r="R56">
        <v>8.2025999999999996E-4</v>
      </c>
      <c r="S56">
        <v>-1.9950066799999999</v>
      </c>
      <c r="T56">
        <v>3.0732699999999999E-3</v>
      </c>
      <c r="U56">
        <v>1.99500905</v>
      </c>
      <c r="V56">
        <v>1.394922E-2</v>
      </c>
      <c r="W56">
        <v>-2.5693239999999999E-2</v>
      </c>
      <c r="X56">
        <v>0</v>
      </c>
      <c r="Y56" s="8" t="s">
        <v>909</v>
      </c>
      <c r="Z56" s="8" t="s">
        <v>910</v>
      </c>
      <c r="AA56" s="8" t="s">
        <v>911</v>
      </c>
    </row>
    <row r="57" spans="1:27" x14ac:dyDescent="0.25">
      <c r="A57">
        <v>2</v>
      </c>
      <c r="B57">
        <v>0.28000000000000003</v>
      </c>
      <c r="C57">
        <v>56</v>
      </c>
      <c r="D57">
        <v>-0.50019999999999998</v>
      </c>
      <c r="E57">
        <v>-0.71519999999999995</v>
      </c>
      <c r="F57">
        <v>0.14467647</v>
      </c>
      <c r="G57">
        <v>0.87278593000000004</v>
      </c>
      <c r="H57">
        <v>1</v>
      </c>
      <c r="I57">
        <v>0</v>
      </c>
      <c r="J57">
        <v>4.1021000000000001</v>
      </c>
      <c r="K57" s="8" t="s">
        <v>912</v>
      </c>
      <c r="L57" s="8" t="s">
        <v>913</v>
      </c>
      <c r="M57">
        <v>0</v>
      </c>
      <c r="N57">
        <v>0</v>
      </c>
      <c r="O57">
        <v>0.12721407000000001</v>
      </c>
      <c r="P57">
        <v>-2.8407160000000001E-2</v>
      </c>
      <c r="Q57">
        <v>2.8407160000000001E-2</v>
      </c>
      <c r="R57">
        <v>9.0163999999999999E-4</v>
      </c>
      <c r="S57">
        <v>-1.9950066799999999</v>
      </c>
      <c r="T57">
        <v>3.0732699999999999E-3</v>
      </c>
      <c r="U57">
        <v>1.99500905</v>
      </c>
      <c r="V57">
        <v>1.3447209999999999E-2</v>
      </c>
      <c r="W57">
        <v>-2.4942269999999999E-2</v>
      </c>
      <c r="X57">
        <v>0</v>
      </c>
      <c r="Y57" s="8" t="s">
        <v>914</v>
      </c>
      <c r="Z57" s="8" t="s">
        <v>915</v>
      </c>
      <c r="AA57" s="8" t="s">
        <v>916</v>
      </c>
    </row>
    <row r="58" spans="1:27" x14ac:dyDescent="0.25">
      <c r="A58">
        <v>2</v>
      </c>
      <c r="B58">
        <v>0.28499999999999998</v>
      </c>
      <c r="C58">
        <v>57</v>
      </c>
      <c r="D58">
        <v>-0.48680000000000001</v>
      </c>
      <c r="E58">
        <v>-0.74019999999999997</v>
      </c>
      <c r="F58">
        <v>0.13969477</v>
      </c>
      <c r="G58">
        <v>0.88587989</v>
      </c>
      <c r="H58">
        <v>1</v>
      </c>
      <c r="I58">
        <v>0</v>
      </c>
      <c r="J58">
        <v>4.1306000000000003</v>
      </c>
      <c r="K58" s="8" t="s">
        <v>917</v>
      </c>
      <c r="L58" s="8" t="s">
        <v>918</v>
      </c>
      <c r="M58">
        <v>0</v>
      </c>
      <c r="N58">
        <v>0</v>
      </c>
      <c r="O58">
        <v>0.11412011</v>
      </c>
      <c r="P58">
        <v>-2.7428999999999999E-2</v>
      </c>
      <c r="Q58">
        <v>2.7428999999999999E-2</v>
      </c>
      <c r="R58">
        <v>9.781499999999999E-4</v>
      </c>
      <c r="S58">
        <v>-1.9950066799999999</v>
      </c>
      <c r="T58">
        <v>3.0732699999999999E-3</v>
      </c>
      <c r="U58">
        <v>1.99500905</v>
      </c>
      <c r="V58">
        <v>1.292307E-2</v>
      </c>
      <c r="W58">
        <v>-2.411626E-2</v>
      </c>
      <c r="X58">
        <v>0</v>
      </c>
      <c r="Y58" s="8" t="s">
        <v>919</v>
      </c>
      <c r="Z58" s="8" t="s">
        <v>920</v>
      </c>
      <c r="AA58" s="8" t="s">
        <v>921</v>
      </c>
    </row>
    <row r="59" spans="1:27" x14ac:dyDescent="0.25">
      <c r="A59">
        <v>2</v>
      </c>
      <c r="B59">
        <v>0.28999999999999998</v>
      </c>
      <c r="C59">
        <v>58</v>
      </c>
      <c r="D59">
        <v>-0.47389999999999999</v>
      </c>
      <c r="E59">
        <v>-0.76429999999999998</v>
      </c>
      <c r="F59">
        <v>0.13435000999999999</v>
      </c>
      <c r="G59">
        <v>0.89924978</v>
      </c>
      <c r="H59">
        <v>1</v>
      </c>
      <c r="I59">
        <v>0</v>
      </c>
      <c r="J59">
        <v>4.1574</v>
      </c>
      <c r="K59" s="8" t="s">
        <v>922</v>
      </c>
      <c r="L59" s="8" t="s">
        <v>923</v>
      </c>
      <c r="M59">
        <v>0</v>
      </c>
      <c r="N59">
        <v>0</v>
      </c>
      <c r="O59">
        <v>0.10075022</v>
      </c>
      <c r="P59">
        <v>-2.637956E-2</v>
      </c>
      <c r="Q59">
        <v>2.637956E-2</v>
      </c>
      <c r="R59">
        <v>1.04944E-3</v>
      </c>
      <c r="S59">
        <v>-1.9950066799999999</v>
      </c>
      <c r="T59">
        <v>3.0732699999999999E-3</v>
      </c>
      <c r="U59">
        <v>1.99500905</v>
      </c>
      <c r="V59">
        <v>1.2378129999999999E-2</v>
      </c>
      <c r="W59">
        <v>-2.3220560000000001E-2</v>
      </c>
      <c r="X59">
        <v>0</v>
      </c>
      <c r="Y59" s="8" t="s">
        <v>924</v>
      </c>
      <c r="Z59" s="8" t="s">
        <v>925</v>
      </c>
      <c r="AA59" s="8" t="s">
        <v>926</v>
      </c>
    </row>
    <row r="60" spans="1:27" x14ac:dyDescent="0.25">
      <c r="A60">
        <v>2</v>
      </c>
      <c r="B60">
        <v>0.29499999999999998</v>
      </c>
      <c r="C60">
        <v>59</v>
      </c>
      <c r="D60">
        <v>-0.46150000000000002</v>
      </c>
      <c r="E60">
        <v>-0.78749999999999998</v>
      </c>
      <c r="F60">
        <v>0.12867071999999999</v>
      </c>
      <c r="G60">
        <v>0.91274611000000005</v>
      </c>
      <c r="H60">
        <v>1</v>
      </c>
      <c r="I60">
        <v>0</v>
      </c>
      <c r="J60">
        <v>4.1822999999999997</v>
      </c>
      <c r="K60" s="8" t="s">
        <v>927</v>
      </c>
      <c r="L60" s="8" t="s">
        <v>928</v>
      </c>
      <c r="M60">
        <v>0</v>
      </c>
      <c r="N60">
        <v>0</v>
      </c>
      <c r="O60">
        <v>8.7253890000000001E-2</v>
      </c>
      <c r="P60">
        <v>-2.5264439999999999E-2</v>
      </c>
      <c r="Q60">
        <v>2.5264439999999999E-2</v>
      </c>
      <c r="R60">
        <v>1.11513E-3</v>
      </c>
      <c r="S60">
        <v>-1.9950066799999999</v>
      </c>
      <c r="T60">
        <v>3.0732699999999999E-3</v>
      </c>
      <c r="U60">
        <v>1.99500905</v>
      </c>
      <c r="V60">
        <v>1.1813819999999999E-2</v>
      </c>
      <c r="W60">
        <v>-2.2260809999999999E-2</v>
      </c>
      <c r="X60">
        <v>0</v>
      </c>
      <c r="Y60" s="8" t="s">
        <v>929</v>
      </c>
      <c r="Z60" s="8" t="s">
        <v>930</v>
      </c>
      <c r="AA60" s="8" t="s">
        <v>931</v>
      </c>
    </row>
    <row r="61" spans="1:27" x14ac:dyDescent="0.25">
      <c r="A61">
        <v>2</v>
      </c>
      <c r="B61">
        <v>0.3</v>
      </c>
      <c r="C61">
        <v>60</v>
      </c>
      <c r="D61">
        <v>-0.44969999999999999</v>
      </c>
      <c r="E61">
        <v>-0.80979999999999996</v>
      </c>
      <c r="F61">
        <v>0.12268730999999999</v>
      </c>
      <c r="G61">
        <v>0.92622758999999999</v>
      </c>
      <c r="H61">
        <v>1</v>
      </c>
      <c r="I61">
        <v>0</v>
      </c>
      <c r="J61">
        <v>4.2054999999999998</v>
      </c>
      <c r="K61" s="8" t="s">
        <v>932</v>
      </c>
      <c r="L61" s="8" t="s">
        <v>933</v>
      </c>
      <c r="M61">
        <v>0</v>
      </c>
      <c r="N61">
        <v>0</v>
      </c>
      <c r="O61">
        <v>7.3772409999999997E-2</v>
      </c>
      <c r="P61">
        <v>-2.4089599999999999E-2</v>
      </c>
      <c r="Q61">
        <v>2.4089599999999999E-2</v>
      </c>
      <c r="R61">
        <v>1.1748399999999999E-3</v>
      </c>
      <c r="S61">
        <v>-1.9950066799999999</v>
      </c>
      <c r="T61">
        <v>3.0732699999999999E-3</v>
      </c>
      <c r="U61">
        <v>1.99500905</v>
      </c>
      <c r="V61">
        <v>1.1231659999999999E-2</v>
      </c>
      <c r="W61">
        <v>-2.1243020000000001E-2</v>
      </c>
      <c r="X61">
        <v>0</v>
      </c>
      <c r="Y61" s="8" t="s">
        <v>934</v>
      </c>
      <c r="Z61" s="8" t="s">
        <v>935</v>
      </c>
      <c r="AA61" s="8" t="s">
        <v>936</v>
      </c>
    </row>
    <row r="62" spans="1:27" x14ac:dyDescent="0.25">
      <c r="A62">
        <v>2</v>
      </c>
      <c r="B62">
        <v>0.30499999999999999</v>
      </c>
      <c r="C62">
        <v>61</v>
      </c>
      <c r="D62">
        <v>-0.43840000000000001</v>
      </c>
      <c r="E62">
        <v>-0.83099999999999996</v>
      </c>
      <c r="F62">
        <v>0.11643199999999999</v>
      </c>
      <c r="G62">
        <v>0.93956233</v>
      </c>
      <c r="H62">
        <v>1</v>
      </c>
      <c r="I62">
        <v>0</v>
      </c>
      <c r="J62">
        <v>4.2268999999999997</v>
      </c>
      <c r="K62" s="8" t="s">
        <v>937</v>
      </c>
      <c r="L62" s="8" t="s">
        <v>938</v>
      </c>
      <c r="M62">
        <v>0</v>
      </c>
      <c r="N62">
        <v>0</v>
      </c>
      <c r="O62">
        <v>6.0437669999999999E-2</v>
      </c>
      <c r="P62">
        <v>-2.2861369999999999E-2</v>
      </c>
      <c r="Q62">
        <v>2.2861369999999999E-2</v>
      </c>
      <c r="R62">
        <v>1.2282300000000001E-3</v>
      </c>
      <c r="S62">
        <v>-1.9950066799999999</v>
      </c>
      <c r="T62">
        <v>3.0732699999999999E-3</v>
      </c>
      <c r="U62">
        <v>1.99500905</v>
      </c>
      <c r="V62">
        <v>1.063334E-2</v>
      </c>
      <c r="W62">
        <v>-2.0173469999999999E-2</v>
      </c>
      <c r="X62">
        <v>0</v>
      </c>
      <c r="Y62" s="8" t="s">
        <v>939</v>
      </c>
      <c r="Z62" s="8" t="s">
        <v>940</v>
      </c>
      <c r="AA62" s="8" t="s">
        <v>941</v>
      </c>
    </row>
    <row r="63" spans="1:27" x14ac:dyDescent="0.25">
      <c r="A63">
        <v>2</v>
      </c>
      <c r="B63">
        <v>0.31</v>
      </c>
      <c r="C63">
        <v>62</v>
      </c>
      <c r="D63">
        <v>-0.42780000000000001</v>
      </c>
      <c r="E63">
        <v>-0.85119999999999996</v>
      </c>
      <c r="F63">
        <v>0.10993878999999999</v>
      </c>
      <c r="G63">
        <v>0.95262884000000003</v>
      </c>
      <c r="H63">
        <v>1</v>
      </c>
      <c r="I63">
        <v>0</v>
      </c>
      <c r="J63">
        <v>4.2466999999999997</v>
      </c>
      <c r="K63" s="8" t="s">
        <v>942</v>
      </c>
      <c r="L63" s="8" t="s">
        <v>943</v>
      </c>
      <c r="M63">
        <v>0</v>
      </c>
      <c r="N63">
        <v>0</v>
      </c>
      <c r="O63">
        <v>4.7371160000000002E-2</v>
      </c>
      <c r="P63">
        <v>-2.158643E-2</v>
      </c>
      <c r="Q63">
        <v>2.158643E-2</v>
      </c>
      <c r="R63">
        <v>1.27494E-3</v>
      </c>
      <c r="S63">
        <v>-1.9950066799999999</v>
      </c>
      <c r="T63">
        <v>3.0732699999999999E-3</v>
      </c>
      <c r="U63">
        <v>1.99500905</v>
      </c>
      <c r="V63">
        <v>1.002073E-2</v>
      </c>
      <c r="W63">
        <v>-1.9058760000000001E-2</v>
      </c>
      <c r="X63">
        <v>0</v>
      </c>
      <c r="Y63" s="8" t="s">
        <v>944</v>
      </c>
      <c r="Z63" s="8" t="s">
        <v>945</v>
      </c>
      <c r="AA63" s="8" t="s">
        <v>946</v>
      </c>
    </row>
    <row r="64" spans="1:27" x14ac:dyDescent="0.25">
      <c r="A64">
        <v>2</v>
      </c>
      <c r="B64">
        <v>0.315</v>
      </c>
      <c r="C64">
        <v>63</v>
      </c>
      <c r="D64">
        <v>-0.4178</v>
      </c>
      <c r="E64">
        <v>-0.87019999999999997</v>
      </c>
      <c r="F64">
        <v>0.10324339</v>
      </c>
      <c r="G64">
        <v>0.96531665</v>
      </c>
      <c r="H64">
        <v>1</v>
      </c>
      <c r="I64">
        <v>0</v>
      </c>
      <c r="J64">
        <v>4.2648000000000001</v>
      </c>
      <c r="K64" s="8" t="s">
        <v>947</v>
      </c>
      <c r="L64" s="8" t="s">
        <v>948</v>
      </c>
      <c r="M64">
        <v>0</v>
      </c>
      <c r="N64">
        <v>0</v>
      </c>
      <c r="O64">
        <v>3.4683350000000002E-2</v>
      </c>
      <c r="P64">
        <v>-2.0271790000000001E-2</v>
      </c>
      <c r="Q64">
        <v>2.0271790000000001E-2</v>
      </c>
      <c r="R64">
        <v>1.3146399999999999E-3</v>
      </c>
      <c r="S64">
        <v>-1.9950066799999999</v>
      </c>
      <c r="T64">
        <v>3.0732699999999999E-3</v>
      </c>
      <c r="U64">
        <v>1.99500905</v>
      </c>
      <c r="V64">
        <v>9.3959100000000004E-3</v>
      </c>
      <c r="W64">
        <v>-1.79057E-2</v>
      </c>
      <c r="X64">
        <v>0</v>
      </c>
      <c r="Y64" s="8" t="s">
        <v>949</v>
      </c>
      <c r="Z64" s="8" t="s">
        <v>950</v>
      </c>
      <c r="AA64" s="8" t="s">
        <v>951</v>
      </c>
    </row>
    <row r="65" spans="1:27" x14ac:dyDescent="0.25">
      <c r="A65">
        <v>2</v>
      </c>
      <c r="B65">
        <v>0.32</v>
      </c>
      <c r="C65">
        <v>64</v>
      </c>
      <c r="D65">
        <v>-0.40839999999999999</v>
      </c>
      <c r="E65">
        <v>-0.8881</v>
      </c>
      <c r="F65">
        <v>9.6383129999999997E-2</v>
      </c>
      <c r="G65">
        <v>0.97752675</v>
      </c>
      <c r="H65">
        <v>1</v>
      </c>
      <c r="I65">
        <v>0</v>
      </c>
      <c r="J65">
        <v>4.2813999999999997</v>
      </c>
      <c r="K65" s="8" t="s">
        <v>952</v>
      </c>
      <c r="L65" s="8" t="s">
        <v>953</v>
      </c>
      <c r="M65">
        <v>0</v>
      </c>
      <c r="N65">
        <v>0</v>
      </c>
      <c r="O65">
        <v>2.247325E-2</v>
      </c>
      <c r="P65">
        <v>-1.8924779999999999E-2</v>
      </c>
      <c r="Q65">
        <v>1.8924779999999999E-2</v>
      </c>
      <c r="R65">
        <v>1.34701E-3</v>
      </c>
      <c r="S65">
        <v>-1.9950066799999999</v>
      </c>
      <c r="T65">
        <v>3.0732699999999999E-3</v>
      </c>
      <c r="U65">
        <v>1.99500905</v>
      </c>
      <c r="V65">
        <v>8.7611500000000005E-3</v>
      </c>
      <c r="W65">
        <v>-1.6721369999999999E-2</v>
      </c>
      <c r="X65">
        <v>0</v>
      </c>
      <c r="Y65" s="8" t="s">
        <v>954</v>
      </c>
      <c r="Z65" s="8" t="s">
        <v>955</v>
      </c>
      <c r="AA65" s="8" t="s">
        <v>956</v>
      </c>
    </row>
    <row r="66" spans="1:27" x14ac:dyDescent="0.25">
      <c r="A66">
        <v>2</v>
      </c>
      <c r="B66">
        <v>0.32500000000000001</v>
      </c>
      <c r="C66">
        <v>65</v>
      </c>
      <c r="D66">
        <v>-0.39960000000000001</v>
      </c>
      <c r="E66">
        <v>-0.90490000000000004</v>
      </c>
      <c r="F66">
        <v>8.9396870000000003E-2</v>
      </c>
      <c r="G66">
        <v>0.98917180000000005</v>
      </c>
      <c r="H66">
        <v>1</v>
      </c>
      <c r="I66">
        <v>0</v>
      </c>
      <c r="J66">
        <v>4.2965</v>
      </c>
      <c r="K66" s="8" t="s">
        <v>957</v>
      </c>
      <c r="L66" s="8" t="s">
        <v>958</v>
      </c>
      <c r="M66">
        <v>0</v>
      </c>
      <c r="N66">
        <v>0</v>
      </c>
      <c r="O66">
        <v>1.08282E-2</v>
      </c>
      <c r="P66">
        <v>-1.7553030000000001E-2</v>
      </c>
      <c r="Q66">
        <v>1.7553030000000001E-2</v>
      </c>
      <c r="R66">
        <v>1.3717499999999999E-3</v>
      </c>
      <c r="S66">
        <v>-1.9950066799999999</v>
      </c>
      <c r="T66">
        <v>3.0732699999999999E-3</v>
      </c>
      <c r="U66">
        <v>1.99500905</v>
      </c>
      <c r="V66">
        <v>8.1189899999999995E-3</v>
      </c>
      <c r="W66">
        <v>-1.551306E-2</v>
      </c>
      <c r="X66">
        <v>0</v>
      </c>
      <c r="Y66" s="8" t="s">
        <v>959</v>
      </c>
      <c r="Z66" s="8" t="s">
        <v>960</v>
      </c>
      <c r="AA66" s="8" t="s">
        <v>961</v>
      </c>
    </row>
    <row r="67" spans="1:27" x14ac:dyDescent="0.25">
      <c r="A67">
        <v>2</v>
      </c>
      <c r="B67">
        <v>0.33</v>
      </c>
      <c r="C67">
        <v>66</v>
      </c>
      <c r="D67">
        <v>-0.39150000000000001</v>
      </c>
      <c r="E67">
        <v>-0.9204</v>
      </c>
      <c r="F67">
        <v>8.2324910000000001E-2</v>
      </c>
      <c r="G67">
        <v>1.00017632</v>
      </c>
      <c r="H67">
        <v>1</v>
      </c>
      <c r="I67">
        <v>0</v>
      </c>
      <c r="J67">
        <v>4.3102</v>
      </c>
      <c r="K67" s="8" t="s">
        <v>962</v>
      </c>
      <c r="L67" s="8" t="s">
        <v>963</v>
      </c>
      <c r="M67">
        <v>0</v>
      </c>
      <c r="N67">
        <v>0</v>
      </c>
      <c r="O67">
        <v>-1.7631999999999999E-4</v>
      </c>
      <c r="P67">
        <v>-1.6164459999999999E-2</v>
      </c>
      <c r="Q67">
        <v>1.6164459999999999E-2</v>
      </c>
      <c r="R67">
        <v>1.3885799999999999E-3</v>
      </c>
      <c r="S67">
        <v>-1.9950066799999999</v>
      </c>
      <c r="T67">
        <v>3.0732699999999999E-3</v>
      </c>
      <c r="U67">
        <v>1.99500905</v>
      </c>
      <c r="V67">
        <v>7.4721700000000002E-3</v>
      </c>
      <c r="W67">
        <v>-1.4288250000000001E-2</v>
      </c>
      <c r="X67">
        <v>0</v>
      </c>
      <c r="Y67" s="8" t="s">
        <v>964</v>
      </c>
      <c r="Z67" s="8" t="s">
        <v>965</v>
      </c>
      <c r="AA67" s="8" t="s">
        <v>966</v>
      </c>
    </row>
    <row r="68" spans="1:27" x14ac:dyDescent="0.25">
      <c r="A68">
        <v>2</v>
      </c>
      <c r="B68">
        <v>0.33500000000000002</v>
      </c>
      <c r="C68">
        <v>67</v>
      </c>
      <c r="D68">
        <v>-0.38400000000000001</v>
      </c>
      <c r="E68">
        <v>-0.93469999999999998</v>
      </c>
      <c r="F68">
        <v>7.5208929999999993E-2</v>
      </c>
      <c r="G68">
        <v>1.01047658</v>
      </c>
      <c r="H68">
        <v>1</v>
      </c>
      <c r="I68">
        <v>0</v>
      </c>
      <c r="J68">
        <v>4.3224999999999998</v>
      </c>
      <c r="K68" s="8" t="s">
        <v>967</v>
      </c>
      <c r="L68" s="8" t="s">
        <v>968</v>
      </c>
      <c r="M68">
        <v>0</v>
      </c>
      <c r="N68">
        <v>0</v>
      </c>
      <c r="O68">
        <v>-1.0476579999999999E-2</v>
      </c>
      <c r="P68">
        <v>-1.4767239999999999E-2</v>
      </c>
      <c r="Q68">
        <v>1.4767239999999999E-2</v>
      </c>
      <c r="R68">
        <v>1.39722E-3</v>
      </c>
      <c r="S68">
        <v>-1.9950066799999999</v>
      </c>
      <c r="T68">
        <v>3.0732699999999999E-3</v>
      </c>
      <c r="U68">
        <v>1.99500905</v>
      </c>
      <c r="V68">
        <v>6.8236700000000004E-3</v>
      </c>
      <c r="W68">
        <v>-1.305457E-2</v>
      </c>
      <c r="X68">
        <v>0</v>
      </c>
      <c r="Y68" s="8" t="s">
        <v>969</v>
      </c>
      <c r="Z68" s="8" t="s">
        <v>970</v>
      </c>
      <c r="AA68" s="8" t="s">
        <v>971</v>
      </c>
    </row>
    <row r="69" spans="1:27" x14ac:dyDescent="0.25">
      <c r="A69">
        <v>2</v>
      </c>
      <c r="B69">
        <v>0.34</v>
      </c>
      <c r="C69">
        <v>68</v>
      </c>
      <c r="D69">
        <v>-0.37719999999999998</v>
      </c>
      <c r="E69">
        <v>-0.94769999999999999</v>
      </c>
      <c r="F69">
        <v>6.8091879999999994E-2</v>
      </c>
      <c r="G69">
        <v>1.02002064</v>
      </c>
      <c r="H69">
        <v>1</v>
      </c>
      <c r="I69">
        <v>0</v>
      </c>
      <c r="J69">
        <v>4.3335999999999997</v>
      </c>
      <c r="K69" s="8" t="s">
        <v>972</v>
      </c>
      <c r="L69" s="8" t="s">
        <v>973</v>
      </c>
      <c r="M69">
        <v>0</v>
      </c>
      <c r="N69">
        <v>0</v>
      </c>
      <c r="O69">
        <v>-2.0020639999999999E-2</v>
      </c>
      <c r="P69">
        <v>-1.3369809999999999E-2</v>
      </c>
      <c r="Q69">
        <v>1.3369809999999999E-2</v>
      </c>
      <c r="R69">
        <v>1.3974300000000001E-3</v>
      </c>
      <c r="S69">
        <v>-1.9950066799999999</v>
      </c>
      <c r="T69">
        <v>3.0732699999999999E-3</v>
      </c>
      <c r="U69">
        <v>1.99500905</v>
      </c>
      <c r="V69">
        <v>6.1767200000000001E-3</v>
      </c>
      <c r="W69">
        <v>-1.181985E-2</v>
      </c>
      <c r="X69">
        <v>0</v>
      </c>
      <c r="Y69" s="8" t="s">
        <v>974</v>
      </c>
      <c r="Z69" s="8" t="s">
        <v>975</v>
      </c>
      <c r="AA69" s="8" t="s">
        <v>976</v>
      </c>
    </row>
    <row r="70" spans="1:27" x14ac:dyDescent="0.25">
      <c r="A70">
        <v>2</v>
      </c>
      <c r="B70">
        <v>0.34499999999999997</v>
      </c>
      <c r="C70">
        <v>69</v>
      </c>
      <c r="D70">
        <v>-0.371</v>
      </c>
      <c r="E70">
        <v>-0.95950000000000002</v>
      </c>
      <c r="F70">
        <v>6.1017979999999999E-2</v>
      </c>
      <c r="G70">
        <v>1.02876813</v>
      </c>
      <c r="H70">
        <v>1</v>
      </c>
      <c r="I70">
        <v>0</v>
      </c>
      <c r="J70">
        <v>4.3433999999999999</v>
      </c>
      <c r="K70" s="8" t="s">
        <v>977</v>
      </c>
      <c r="L70" s="8" t="s">
        <v>978</v>
      </c>
      <c r="M70">
        <v>0</v>
      </c>
      <c r="N70">
        <v>0</v>
      </c>
      <c r="O70">
        <v>-2.8768129999999999E-2</v>
      </c>
      <c r="P70">
        <v>-1.1980849999999999E-2</v>
      </c>
      <c r="Q70">
        <v>1.1980849999999999E-2</v>
      </c>
      <c r="R70">
        <v>1.3889600000000001E-3</v>
      </c>
      <c r="S70">
        <v>-1.9950066799999999</v>
      </c>
      <c r="T70">
        <v>3.0732699999999999E-3</v>
      </c>
      <c r="U70">
        <v>1.99500905</v>
      </c>
      <c r="V70">
        <v>5.5347599999999997E-3</v>
      </c>
      <c r="W70">
        <v>-1.059206E-2</v>
      </c>
      <c r="X70">
        <v>0</v>
      </c>
      <c r="Y70" s="8" t="s">
        <v>979</v>
      </c>
      <c r="Z70" s="8" t="s">
        <v>980</v>
      </c>
      <c r="AA70" s="8" t="s">
        <v>981</v>
      </c>
    </row>
    <row r="71" spans="1:27" x14ac:dyDescent="0.25">
      <c r="A71">
        <v>2</v>
      </c>
      <c r="B71">
        <v>0.35</v>
      </c>
      <c r="C71">
        <v>70</v>
      </c>
      <c r="D71">
        <v>-0.36549999999999999</v>
      </c>
      <c r="E71">
        <v>-0.97009999999999996</v>
      </c>
      <c r="F71">
        <v>5.4032740000000003E-2</v>
      </c>
      <c r="G71">
        <v>1.0366901500000001</v>
      </c>
      <c r="H71">
        <v>1</v>
      </c>
      <c r="I71">
        <v>0</v>
      </c>
      <c r="J71">
        <v>4.3521000000000001</v>
      </c>
      <c r="K71" s="8" t="s">
        <v>982</v>
      </c>
      <c r="L71" s="8" t="s">
        <v>983</v>
      </c>
      <c r="M71">
        <v>0</v>
      </c>
      <c r="N71">
        <v>0</v>
      </c>
      <c r="O71">
        <v>-3.6690149999999998E-2</v>
      </c>
      <c r="P71">
        <v>-1.06093E-2</v>
      </c>
      <c r="Q71">
        <v>1.06093E-2</v>
      </c>
      <c r="R71">
        <v>1.37155E-3</v>
      </c>
      <c r="S71">
        <v>-1.9950066799999999</v>
      </c>
      <c r="T71">
        <v>3.0732699999999999E-3</v>
      </c>
      <c r="U71">
        <v>1.99500905</v>
      </c>
      <c r="V71">
        <v>4.9014699999999998E-3</v>
      </c>
      <c r="W71">
        <v>-9.37933E-3</v>
      </c>
      <c r="X71">
        <v>0</v>
      </c>
      <c r="Y71" s="8" t="s">
        <v>984</v>
      </c>
      <c r="Z71" s="8" t="s">
        <v>985</v>
      </c>
      <c r="AA71" s="8" t="s">
        <v>986</v>
      </c>
    </row>
    <row r="72" spans="1:27" x14ac:dyDescent="0.25">
      <c r="A72">
        <v>2</v>
      </c>
      <c r="B72">
        <v>0.35499999999999998</v>
      </c>
      <c r="C72">
        <v>71</v>
      </c>
      <c r="D72">
        <v>-0.36059999999999998</v>
      </c>
      <c r="E72">
        <v>-0.97950000000000004</v>
      </c>
      <c r="F72">
        <v>4.7183070000000001E-2</v>
      </c>
      <c r="G72">
        <v>1.0437690500000001</v>
      </c>
      <c r="H72">
        <v>1</v>
      </c>
      <c r="I72">
        <v>0</v>
      </c>
      <c r="J72">
        <v>4.3597000000000001</v>
      </c>
      <c r="K72" s="8" t="s">
        <v>987</v>
      </c>
      <c r="L72" s="8" t="s">
        <v>988</v>
      </c>
      <c r="M72">
        <v>0</v>
      </c>
      <c r="N72">
        <v>0</v>
      </c>
      <c r="O72">
        <v>-4.3769049999999997E-2</v>
      </c>
      <c r="P72">
        <v>-9.2643699999999992E-3</v>
      </c>
      <c r="Q72">
        <v>9.2643699999999992E-3</v>
      </c>
      <c r="R72">
        <v>1.34493E-3</v>
      </c>
      <c r="S72">
        <v>-1.9950066799999999</v>
      </c>
      <c r="T72">
        <v>3.0732699999999999E-3</v>
      </c>
      <c r="U72">
        <v>1.99500905</v>
      </c>
      <c r="V72">
        <v>4.2807699999999997E-3</v>
      </c>
      <c r="W72">
        <v>-8.1899799999999995E-3</v>
      </c>
      <c r="X72">
        <v>0</v>
      </c>
      <c r="Y72" s="8" t="s">
        <v>989</v>
      </c>
      <c r="Z72" s="8" t="s">
        <v>990</v>
      </c>
      <c r="AA72" s="8" t="s">
        <v>991</v>
      </c>
    </row>
    <row r="73" spans="1:27" x14ac:dyDescent="0.25">
      <c r="A73">
        <v>2</v>
      </c>
      <c r="B73">
        <v>0.36</v>
      </c>
      <c r="C73">
        <v>72</v>
      </c>
      <c r="D73">
        <v>-0.35630000000000001</v>
      </c>
      <c r="E73">
        <v>-0.98770000000000002</v>
      </c>
      <c r="F73">
        <v>4.0517450000000003E-2</v>
      </c>
      <c r="G73">
        <v>1.04999822</v>
      </c>
      <c r="H73">
        <v>1</v>
      </c>
      <c r="I73">
        <v>0</v>
      </c>
      <c r="J73">
        <v>4.3662000000000001</v>
      </c>
      <c r="K73" s="8" t="s">
        <v>992</v>
      </c>
      <c r="L73" s="8" t="s">
        <v>993</v>
      </c>
      <c r="M73">
        <v>0</v>
      </c>
      <c r="N73">
        <v>0</v>
      </c>
      <c r="O73">
        <v>-4.9998220000000003E-2</v>
      </c>
      <c r="P73">
        <v>-7.9555800000000003E-3</v>
      </c>
      <c r="Q73">
        <v>7.9555800000000003E-3</v>
      </c>
      <c r="R73">
        <v>1.30879E-3</v>
      </c>
      <c r="S73">
        <v>-1.9950066799999999</v>
      </c>
      <c r="T73">
        <v>3.0732699999999999E-3</v>
      </c>
      <c r="U73">
        <v>1.99500905</v>
      </c>
      <c r="V73">
        <v>3.6768E-3</v>
      </c>
      <c r="W73">
        <v>-7.0325700000000001E-3</v>
      </c>
      <c r="X73">
        <v>0</v>
      </c>
      <c r="Y73" s="8" t="s">
        <v>994</v>
      </c>
      <c r="Z73" s="8" t="s">
        <v>995</v>
      </c>
      <c r="AA73" s="8" t="s">
        <v>996</v>
      </c>
    </row>
    <row r="74" spans="1:27" x14ac:dyDescent="0.25">
      <c r="A74">
        <v>2</v>
      </c>
      <c r="B74">
        <v>0.36499999999999999</v>
      </c>
      <c r="C74">
        <v>73</v>
      </c>
      <c r="D74">
        <v>-0.35260000000000002</v>
      </c>
      <c r="E74">
        <v>-0.99470000000000003</v>
      </c>
      <c r="F74">
        <v>3.4086459999999999E-2</v>
      </c>
      <c r="G74">
        <v>1.0553819900000001</v>
      </c>
      <c r="H74">
        <v>1</v>
      </c>
      <c r="I74">
        <v>0</v>
      </c>
      <c r="J74">
        <v>4.3716999999999997</v>
      </c>
      <c r="K74" s="8" t="s">
        <v>997</v>
      </c>
      <c r="L74" s="8" t="s">
        <v>998</v>
      </c>
      <c r="M74">
        <v>0</v>
      </c>
      <c r="N74">
        <v>0</v>
      </c>
      <c r="O74">
        <v>-5.5381989999999999E-2</v>
      </c>
      <c r="P74">
        <v>-6.6928600000000001E-3</v>
      </c>
      <c r="Q74">
        <v>6.6928600000000001E-3</v>
      </c>
      <c r="R74">
        <v>1.2627199999999999E-3</v>
      </c>
      <c r="S74">
        <v>-1.9950066799999999</v>
      </c>
      <c r="T74">
        <v>3.0732699999999999E-3</v>
      </c>
      <c r="U74">
        <v>1.99500905</v>
      </c>
      <c r="V74">
        <v>3.0939800000000001E-3</v>
      </c>
      <c r="W74">
        <v>-5.9159399999999997E-3</v>
      </c>
      <c r="X74">
        <v>0</v>
      </c>
      <c r="Y74" s="8" t="s">
        <v>999</v>
      </c>
      <c r="Z74" s="8" t="s">
        <v>1000</v>
      </c>
      <c r="AA74" s="8" t="s">
        <v>1001</v>
      </c>
    </row>
    <row r="75" spans="1:27" x14ac:dyDescent="0.25">
      <c r="A75">
        <v>2</v>
      </c>
      <c r="B75">
        <v>0.37</v>
      </c>
      <c r="C75">
        <v>74</v>
      </c>
      <c r="D75">
        <v>-0.34949999999999998</v>
      </c>
      <c r="E75">
        <v>-1.0005999999999999</v>
      </c>
      <c r="F75">
        <v>2.7943409999999998E-2</v>
      </c>
      <c r="G75">
        <v>1.0599354400000001</v>
      </c>
      <c r="H75">
        <v>1</v>
      </c>
      <c r="I75">
        <v>0</v>
      </c>
      <c r="J75">
        <v>4.3762999999999996</v>
      </c>
      <c r="K75" s="8" t="s">
        <v>1002</v>
      </c>
      <c r="L75" s="8" t="s">
        <v>1003</v>
      </c>
      <c r="M75">
        <v>0</v>
      </c>
      <c r="N75">
        <v>0</v>
      </c>
      <c r="O75">
        <v>-5.993544E-2</v>
      </c>
      <c r="P75">
        <v>-5.4866699999999999E-3</v>
      </c>
      <c r="Q75">
        <v>5.4866699999999999E-3</v>
      </c>
      <c r="R75">
        <v>1.20619E-3</v>
      </c>
      <c r="S75">
        <v>-1.9950066799999999</v>
      </c>
      <c r="T75">
        <v>3.0732699999999999E-3</v>
      </c>
      <c r="U75">
        <v>1.99500905</v>
      </c>
      <c r="V75">
        <v>2.5370599999999998E-3</v>
      </c>
      <c r="W75">
        <v>-4.8494200000000001E-3</v>
      </c>
      <c r="X75">
        <v>0</v>
      </c>
      <c r="Y75" s="8" t="s">
        <v>1004</v>
      </c>
      <c r="Z75" s="8" t="s">
        <v>1005</v>
      </c>
      <c r="AA75" s="8" t="s">
        <v>1006</v>
      </c>
    </row>
    <row r="76" spans="1:27" x14ac:dyDescent="0.25">
      <c r="A76">
        <v>2</v>
      </c>
      <c r="B76">
        <v>0.375</v>
      </c>
      <c r="C76">
        <v>75</v>
      </c>
      <c r="D76">
        <v>-0.34699999999999998</v>
      </c>
      <c r="E76">
        <v>-1.0055000000000001</v>
      </c>
      <c r="F76">
        <v>2.2145640000000001E-2</v>
      </c>
      <c r="G76">
        <v>1.0636844299999999</v>
      </c>
      <c r="H76">
        <v>1</v>
      </c>
      <c r="I76">
        <v>0</v>
      </c>
      <c r="J76">
        <v>4.3800999999999997</v>
      </c>
      <c r="K76" s="8" t="s">
        <v>1007</v>
      </c>
      <c r="L76" s="8" t="s">
        <v>1008</v>
      </c>
      <c r="M76">
        <v>0</v>
      </c>
      <c r="N76">
        <v>0</v>
      </c>
      <c r="O76">
        <v>-6.368443E-2</v>
      </c>
      <c r="P76">
        <v>-4.3482900000000003E-3</v>
      </c>
      <c r="Q76">
        <v>4.3482900000000003E-3</v>
      </c>
      <c r="R76">
        <v>1.13839E-3</v>
      </c>
      <c r="S76">
        <v>-1.9950066799999999</v>
      </c>
      <c r="T76">
        <v>3.0732699999999999E-3</v>
      </c>
      <c r="U76">
        <v>1.99500905</v>
      </c>
      <c r="V76">
        <v>2.0111999999999999E-3</v>
      </c>
      <c r="W76">
        <v>-3.8429699999999998E-3</v>
      </c>
      <c r="X76">
        <v>0</v>
      </c>
      <c r="Y76" s="8" t="s">
        <v>1009</v>
      </c>
      <c r="Z76" s="8" t="s">
        <v>1010</v>
      </c>
      <c r="AA76" s="8" t="s">
        <v>1011</v>
      </c>
    </row>
    <row r="77" spans="1:27" x14ac:dyDescent="0.25">
      <c r="A77">
        <v>2</v>
      </c>
      <c r="B77">
        <v>0.38</v>
      </c>
      <c r="C77">
        <v>76</v>
      </c>
      <c r="D77">
        <v>-0.34499999999999997</v>
      </c>
      <c r="E77">
        <v>-1.0093000000000001</v>
      </c>
      <c r="F77">
        <v>1.6756710000000001E-2</v>
      </c>
      <c r="G77">
        <v>1.06666572</v>
      </c>
      <c r="H77">
        <v>1</v>
      </c>
      <c r="I77">
        <v>0</v>
      </c>
      <c r="J77">
        <v>4.383</v>
      </c>
      <c r="K77" s="8" t="s">
        <v>1012</v>
      </c>
      <c r="L77" s="8" t="s">
        <v>1013</v>
      </c>
      <c r="M77">
        <v>0</v>
      </c>
      <c r="N77">
        <v>0</v>
      </c>
      <c r="O77">
        <v>-6.6665719999999998E-2</v>
      </c>
      <c r="P77">
        <v>-3.2901699999999998E-3</v>
      </c>
      <c r="Q77">
        <v>3.2901699999999998E-3</v>
      </c>
      <c r="R77">
        <v>1.0581200000000001E-3</v>
      </c>
      <c r="S77">
        <v>-1.9950066799999999</v>
      </c>
      <c r="T77">
        <v>3.0732699999999999E-3</v>
      </c>
      <c r="U77">
        <v>1.99500905</v>
      </c>
      <c r="V77">
        <v>1.5222E-3</v>
      </c>
      <c r="W77">
        <v>-2.9076100000000001E-3</v>
      </c>
      <c r="X77">
        <v>0</v>
      </c>
      <c r="Y77" s="8" t="s">
        <v>1014</v>
      </c>
      <c r="Z77" s="8" t="s">
        <v>1015</v>
      </c>
      <c r="AA77" s="8" t="s">
        <v>1016</v>
      </c>
    </row>
    <row r="78" spans="1:27" x14ac:dyDescent="0.25">
      <c r="A78">
        <v>2</v>
      </c>
      <c r="B78">
        <v>0.38500000000000001</v>
      </c>
      <c r="C78">
        <v>77</v>
      </c>
      <c r="D78">
        <v>-0.34350000000000003</v>
      </c>
      <c r="E78">
        <v>-1.0122</v>
      </c>
      <c r="F78">
        <v>1.186137E-2</v>
      </c>
      <c r="G78">
        <v>1.0689273800000001</v>
      </c>
      <c r="H78">
        <v>1</v>
      </c>
      <c r="I78">
        <v>0</v>
      </c>
      <c r="J78">
        <v>4.3853</v>
      </c>
      <c r="K78" s="8" t="s">
        <v>1017</v>
      </c>
      <c r="L78" s="8" t="s">
        <v>1018</v>
      </c>
      <c r="M78">
        <v>0</v>
      </c>
      <c r="N78">
        <v>0</v>
      </c>
      <c r="O78">
        <v>-6.8927379999999996E-2</v>
      </c>
      <c r="P78">
        <v>-2.3289700000000001E-3</v>
      </c>
      <c r="Q78">
        <v>2.3289700000000001E-3</v>
      </c>
      <c r="R78">
        <v>9.6120000000000005E-4</v>
      </c>
      <c r="S78">
        <v>-1.9950066799999999</v>
      </c>
      <c r="T78">
        <v>3.0732699999999999E-3</v>
      </c>
      <c r="U78">
        <v>1.99500905</v>
      </c>
      <c r="V78">
        <v>1.07778E-3</v>
      </c>
      <c r="W78">
        <v>-2.0580300000000002E-3</v>
      </c>
      <c r="X78">
        <v>0</v>
      </c>
      <c r="Y78" s="8" t="s">
        <v>1019</v>
      </c>
      <c r="Z78" s="8" t="s">
        <v>1020</v>
      </c>
      <c r="AA78" s="8" t="s">
        <v>1021</v>
      </c>
    </row>
    <row r="79" spans="1:27" x14ac:dyDescent="0.25">
      <c r="A79">
        <v>2</v>
      </c>
      <c r="B79">
        <v>0.39</v>
      </c>
      <c r="C79">
        <v>78</v>
      </c>
      <c r="D79">
        <v>-0.34239999999999998</v>
      </c>
      <c r="E79">
        <v>-1.0143</v>
      </c>
      <c r="F79">
        <v>7.5428700000000001E-3</v>
      </c>
      <c r="G79">
        <v>1.07053128</v>
      </c>
      <c r="H79">
        <v>1</v>
      </c>
      <c r="I79">
        <v>0</v>
      </c>
      <c r="J79">
        <v>4.3868</v>
      </c>
      <c r="K79" s="8" t="s">
        <v>1022</v>
      </c>
      <c r="L79" s="8" t="s">
        <v>475</v>
      </c>
      <c r="M79">
        <v>0</v>
      </c>
      <c r="N79">
        <v>0</v>
      </c>
      <c r="O79">
        <v>-7.0531280000000002E-2</v>
      </c>
      <c r="P79">
        <v>-1.4810400000000001E-3</v>
      </c>
      <c r="Q79">
        <v>1.4810400000000001E-3</v>
      </c>
      <c r="R79">
        <v>8.4794000000000004E-4</v>
      </c>
      <c r="S79">
        <v>-1.9950066799999999</v>
      </c>
      <c r="T79">
        <v>3.0732699999999999E-3</v>
      </c>
      <c r="U79">
        <v>1.99500905</v>
      </c>
      <c r="V79">
        <v>6.8555000000000005E-4</v>
      </c>
      <c r="W79">
        <v>-1.30865E-3</v>
      </c>
      <c r="X79">
        <v>0</v>
      </c>
      <c r="Y79" s="8" t="s">
        <v>1038</v>
      </c>
      <c r="Z79" s="8" t="s">
        <v>1039</v>
      </c>
      <c r="AA79" s="8" t="s">
        <v>1040</v>
      </c>
    </row>
    <row r="80" spans="1:27" x14ac:dyDescent="0.25">
      <c r="A80">
        <v>2</v>
      </c>
      <c r="B80">
        <v>0.39500000000000002</v>
      </c>
      <c r="C80">
        <v>79</v>
      </c>
      <c r="D80">
        <v>-0.3417</v>
      </c>
      <c r="E80">
        <v>-1.0156000000000001</v>
      </c>
      <c r="F80">
        <v>3.9176000000000002E-3</v>
      </c>
      <c r="G80">
        <v>1.0715524599999999</v>
      </c>
      <c r="H80">
        <v>1</v>
      </c>
      <c r="I80">
        <v>0</v>
      </c>
      <c r="J80">
        <v>4.3878000000000004</v>
      </c>
      <c r="K80" s="8" t="s">
        <v>1041</v>
      </c>
      <c r="L80" s="8" t="s">
        <v>477</v>
      </c>
      <c r="M80">
        <v>0</v>
      </c>
      <c r="N80">
        <v>0</v>
      </c>
      <c r="O80">
        <v>-7.1552459999999998E-2</v>
      </c>
      <c r="P80">
        <v>-7.6922000000000004E-4</v>
      </c>
      <c r="Q80">
        <v>7.6922000000000004E-4</v>
      </c>
      <c r="R80">
        <v>7.1182000000000005E-4</v>
      </c>
      <c r="S80">
        <v>-1.9950066799999999</v>
      </c>
      <c r="T80">
        <v>3.0732699999999999E-3</v>
      </c>
      <c r="U80">
        <v>1.99500905</v>
      </c>
      <c r="V80">
        <v>3.5615000000000001E-4</v>
      </c>
      <c r="W80">
        <v>-6.7964000000000002E-4</v>
      </c>
      <c r="X80">
        <v>0</v>
      </c>
      <c r="Y80" s="8" t="s">
        <v>1042</v>
      </c>
      <c r="Z80" s="8" t="s">
        <v>1043</v>
      </c>
      <c r="AA80" s="8" t="s">
        <v>1044</v>
      </c>
    </row>
    <row r="81" spans="1:27" x14ac:dyDescent="0.25">
      <c r="A81">
        <v>2</v>
      </c>
      <c r="B81">
        <v>0.4</v>
      </c>
      <c r="C81">
        <v>80</v>
      </c>
      <c r="D81">
        <v>-0.34129999999999999</v>
      </c>
      <c r="E81">
        <v>-1.0163</v>
      </c>
      <c r="F81">
        <v>1.18421E-3</v>
      </c>
      <c r="G81">
        <v>1.0720831900000001</v>
      </c>
      <c r="H81">
        <v>1</v>
      </c>
      <c r="I81">
        <v>0</v>
      </c>
      <c r="J81">
        <v>4.3883999999999999</v>
      </c>
      <c r="K81" s="8" t="s">
        <v>1045</v>
      </c>
      <c r="L81" s="8" t="s">
        <v>1034</v>
      </c>
      <c r="M81">
        <v>0</v>
      </c>
      <c r="N81">
        <v>0</v>
      </c>
      <c r="O81">
        <v>-7.2083190000000005E-2</v>
      </c>
      <c r="P81">
        <v>-2.3252E-4</v>
      </c>
      <c r="Q81">
        <v>2.3252E-4</v>
      </c>
      <c r="R81">
        <v>5.3669999999999998E-4</v>
      </c>
      <c r="S81">
        <v>-1.9950066799999999</v>
      </c>
      <c r="T81">
        <v>3.0732699999999999E-3</v>
      </c>
      <c r="U81">
        <v>1.99500905</v>
      </c>
      <c r="V81">
        <v>1.0768E-4</v>
      </c>
      <c r="W81">
        <v>-2.0542999999999999E-4</v>
      </c>
      <c r="X81">
        <v>0</v>
      </c>
      <c r="Y81" s="8" t="s">
        <v>1046</v>
      </c>
      <c r="Z81" s="8" t="s">
        <v>1047</v>
      </c>
      <c r="AA81" s="8" t="s">
        <v>1048</v>
      </c>
    </row>
    <row r="82" spans="1:27" x14ac:dyDescent="0.25">
      <c r="A82">
        <v>2</v>
      </c>
      <c r="B82">
        <v>0.40500000000000003</v>
      </c>
      <c r="C82">
        <v>81</v>
      </c>
      <c r="D82">
        <v>-0.3412</v>
      </c>
      <c r="E82">
        <v>-1.0165</v>
      </c>
      <c r="F82">
        <v>0</v>
      </c>
      <c r="G82">
        <v>1.0722436500000001</v>
      </c>
      <c r="H82">
        <v>1</v>
      </c>
      <c r="I82">
        <v>0</v>
      </c>
      <c r="J82">
        <v>4.3884999999999996</v>
      </c>
      <c r="K82" s="8" t="s">
        <v>42</v>
      </c>
      <c r="L82" s="8" t="s">
        <v>42</v>
      </c>
      <c r="M82">
        <v>0</v>
      </c>
      <c r="N82">
        <v>0</v>
      </c>
      <c r="O82">
        <v>-7.2243650000000006E-2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s="8" t="s">
        <v>42</v>
      </c>
      <c r="Z82" s="8" t="s">
        <v>42</v>
      </c>
      <c r="AA82" s="8" t="s">
        <v>42</v>
      </c>
    </row>
    <row r="83" spans="1:27" x14ac:dyDescent="0.25">
      <c r="A83">
        <v>2</v>
      </c>
      <c r="B83">
        <v>0.41</v>
      </c>
      <c r="C83">
        <v>82</v>
      </c>
      <c r="D83">
        <v>-0.3412</v>
      </c>
      <c r="E83">
        <v>-1.0165</v>
      </c>
      <c r="F83">
        <v>0</v>
      </c>
      <c r="G83">
        <v>1.0722436500000001</v>
      </c>
      <c r="H83">
        <v>1</v>
      </c>
      <c r="I83">
        <v>0</v>
      </c>
      <c r="J83">
        <v>4.3884999999999996</v>
      </c>
      <c r="K83" s="8" t="s">
        <v>42</v>
      </c>
      <c r="L83" s="8" t="s">
        <v>42</v>
      </c>
      <c r="M83">
        <v>0</v>
      </c>
      <c r="N83">
        <v>0</v>
      </c>
      <c r="O83">
        <v>-7.2243650000000006E-2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8" t="s">
        <v>42</v>
      </c>
      <c r="Z83" s="8" t="s">
        <v>42</v>
      </c>
      <c r="AA83" s="8" t="s">
        <v>42</v>
      </c>
    </row>
    <row r="84" spans="1:27" x14ac:dyDescent="0.25">
      <c r="A84">
        <v>2</v>
      </c>
      <c r="B84">
        <v>0.41499999999999998</v>
      </c>
      <c r="C84">
        <v>83</v>
      </c>
      <c r="D84">
        <v>-0.3412</v>
      </c>
      <c r="E84">
        <v>-1.0165</v>
      </c>
      <c r="F84">
        <v>0</v>
      </c>
      <c r="G84">
        <v>1.0722436500000001</v>
      </c>
      <c r="H84">
        <v>1</v>
      </c>
      <c r="I84">
        <v>0</v>
      </c>
      <c r="J84">
        <v>4.3884999999999996</v>
      </c>
      <c r="K84" s="8" t="s">
        <v>42</v>
      </c>
      <c r="L84" s="8" t="s">
        <v>42</v>
      </c>
      <c r="M84">
        <v>0</v>
      </c>
      <c r="N84">
        <v>0</v>
      </c>
      <c r="O84">
        <v>-7.2243650000000006E-2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s="8" t="s">
        <v>42</v>
      </c>
      <c r="Z84" s="8" t="s">
        <v>42</v>
      </c>
      <c r="AA84" s="8" t="s">
        <v>42</v>
      </c>
    </row>
    <row r="85" spans="1:27" x14ac:dyDescent="0.25">
      <c r="A85">
        <v>2</v>
      </c>
      <c r="B85">
        <v>0.42</v>
      </c>
      <c r="C85">
        <v>84</v>
      </c>
      <c r="D85">
        <v>-0.3412</v>
      </c>
      <c r="E85">
        <v>-1.0165</v>
      </c>
      <c r="F85">
        <v>0</v>
      </c>
      <c r="G85">
        <v>1.0722436500000001</v>
      </c>
      <c r="H85">
        <v>1</v>
      </c>
      <c r="I85">
        <v>0</v>
      </c>
      <c r="J85">
        <v>4.3884999999999996</v>
      </c>
      <c r="K85" s="8" t="s">
        <v>42</v>
      </c>
      <c r="L85" s="8" t="s">
        <v>42</v>
      </c>
      <c r="M85">
        <v>0</v>
      </c>
      <c r="N85">
        <v>0</v>
      </c>
      <c r="O85">
        <v>-7.2243650000000006E-2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s="8" t="s">
        <v>42</v>
      </c>
      <c r="Z85" s="8" t="s">
        <v>42</v>
      </c>
      <c r="AA85" s="8" t="s">
        <v>42</v>
      </c>
    </row>
    <row r="86" spans="1:27" x14ac:dyDescent="0.25">
      <c r="A86">
        <v>2</v>
      </c>
      <c r="B86">
        <v>0.42499999999999999</v>
      </c>
      <c r="C86">
        <v>85</v>
      </c>
      <c r="D86">
        <v>-0.3412</v>
      </c>
      <c r="E86">
        <v>-1.0165</v>
      </c>
      <c r="F86">
        <v>0</v>
      </c>
      <c r="G86">
        <v>1.0722436500000001</v>
      </c>
      <c r="H86">
        <v>1</v>
      </c>
      <c r="I86">
        <v>0</v>
      </c>
      <c r="J86">
        <v>4.3884999999999996</v>
      </c>
      <c r="K86" s="8" t="s">
        <v>42</v>
      </c>
      <c r="L86" s="8" t="s">
        <v>42</v>
      </c>
      <c r="M86">
        <v>0</v>
      </c>
      <c r="N86">
        <v>0</v>
      </c>
      <c r="O86">
        <v>-7.2243650000000006E-2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8" t="s">
        <v>42</v>
      </c>
      <c r="Z86" s="8" t="s">
        <v>42</v>
      </c>
      <c r="AA86" s="8" t="s">
        <v>42</v>
      </c>
    </row>
    <row r="87" spans="1:27" x14ac:dyDescent="0.25">
      <c r="A87">
        <v>2</v>
      </c>
      <c r="B87">
        <v>0.43</v>
      </c>
      <c r="C87">
        <v>86</v>
      </c>
      <c r="D87">
        <v>-0.3412</v>
      </c>
      <c r="E87">
        <v>-1.0165</v>
      </c>
      <c r="F87">
        <v>0</v>
      </c>
      <c r="G87">
        <v>1.0722436500000001</v>
      </c>
      <c r="H87">
        <v>1</v>
      </c>
      <c r="I87">
        <v>0</v>
      </c>
      <c r="J87">
        <v>4.3884999999999996</v>
      </c>
      <c r="K87" s="8" t="s">
        <v>42</v>
      </c>
      <c r="L87" s="8" t="s">
        <v>42</v>
      </c>
      <c r="M87">
        <v>0</v>
      </c>
      <c r="N87">
        <v>0</v>
      </c>
      <c r="O87">
        <v>-7.2243650000000006E-2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s="8" t="s">
        <v>42</v>
      </c>
      <c r="Z87" s="8" t="s">
        <v>42</v>
      </c>
      <c r="AA87" s="8" t="s">
        <v>42</v>
      </c>
    </row>
    <row r="88" spans="1:27" x14ac:dyDescent="0.25">
      <c r="A88">
        <v>2</v>
      </c>
      <c r="B88">
        <v>0.435</v>
      </c>
      <c r="C88">
        <v>87</v>
      </c>
      <c r="D88">
        <v>-0.3412</v>
      </c>
      <c r="E88">
        <v>-1.0165</v>
      </c>
      <c r="F88">
        <v>0</v>
      </c>
      <c r="G88">
        <v>1.0722436500000001</v>
      </c>
      <c r="H88">
        <v>1</v>
      </c>
      <c r="I88">
        <v>0</v>
      </c>
      <c r="J88">
        <v>4.3884999999999996</v>
      </c>
      <c r="K88" s="8" t="s">
        <v>42</v>
      </c>
      <c r="L88" s="8" t="s">
        <v>42</v>
      </c>
      <c r="M88">
        <v>0</v>
      </c>
      <c r="N88">
        <v>0</v>
      </c>
      <c r="O88">
        <v>-7.2243650000000006E-2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8" t="s">
        <v>42</v>
      </c>
      <c r="Z88" s="8" t="s">
        <v>42</v>
      </c>
      <c r="AA88" s="8" t="s">
        <v>42</v>
      </c>
    </row>
    <row r="89" spans="1:27" x14ac:dyDescent="0.25">
      <c r="A89">
        <v>2</v>
      </c>
      <c r="B89">
        <v>0.44</v>
      </c>
      <c r="C89">
        <v>88</v>
      </c>
      <c r="D89">
        <v>-0.3412</v>
      </c>
      <c r="E89">
        <v>-1.0165</v>
      </c>
      <c r="F89">
        <v>0</v>
      </c>
      <c r="G89">
        <v>1.0722436500000001</v>
      </c>
      <c r="H89">
        <v>1</v>
      </c>
      <c r="I89">
        <v>0</v>
      </c>
      <c r="J89">
        <v>4.3884999999999996</v>
      </c>
      <c r="K89" s="8" t="s">
        <v>42</v>
      </c>
      <c r="L89" s="8" t="s">
        <v>42</v>
      </c>
      <c r="M89">
        <v>0</v>
      </c>
      <c r="N89">
        <v>0</v>
      </c>
      <c r="O89">
        <v>-7.2243650000000006E-2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 s="8" t="s">
        <v>42</v>
      </c>
      <c r="Z89" s="8" t="s">
        <v>42</v>
      </c>
      <c r="AA89" s="8" t="s">
        <v>42</v>
      </c>
    </row>
    <row r="90" spans="1:27" x14ac:dyDescent="0.25">
      <c r="A90">
        <v>2</v>
      </c>
      <c r="B90">
        <v>0.44500000000000001</v>
      </c>
      <c r="C90">
        <v>89</v>
      </c>
      <c r="D90">
        <v>-0.3412</v>
      </c>
      <c r="E90">
        <v>-1.0165</v>
      </c>
      <c r="F90">
        <v>0</v>
      </c>
      <c r="G90">
        <v>1.0722436500000001</v>
      </c>
      <c r="H90">
        <v>1</v>
      </c>
      <c r="I90">
        <v>0</v>
      </c>
      <c r="J90">
        <v>4.3884999999999996</v>
      </c>
      <c r="K90" s="8" t="s">
        <v>42</v>
      </c>
      <c r="L90" s="8" t="s">
        <v>42</v>
      </c>
      <c r="M90">
        <v>0</v>
      </c>
      <c r="N90">
        <v>0</v>
      </c>
      <c r="O90">
        <v>-7.2243650000000006E-2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8" t="s">
        <v>42</v>
      </c>
      <c r="Z90" s="8" t="s">
        <v>42</v>
      </c>
      <c r="AA90" s="8" t="s">
        <v>42</v>
      </c>
    </row>
    <row r="91" spans="1:27" x14ac:dyDescent="0.25">
      <c r="A91">
        <v>2</v>
      </c>
      <c r="B91">
        <v>0.45</v>
      </c>
      <c r="C91">
        <v>90</v>
      </c>
      <c r="D91">
        <v>-0.3412</v>
      </c>
      <c r="E91">
        <v>-1.0165</v>
      </c>
      <c r="F91">
        <v>0</v>
      </c>
      <c r="G91">
        <v>1.0722436500000001</v>
      </c>
      <c r="H91">
        <v>1</v>
      </c>
      <c r="I91">
        <v>0</v>
      </c>
      <c r="J91">
        <v>4.3884999999999996</v>
      </c>
      <c r="K91" s="8" t="s">
        <v>42</v>
      </c>
      <c r="L91" s="8" t="s">
        <v>42</v>
      </c>
      <c r="M91">
        <v>0</v>
      </c>
      <c r="N91">
        <v>0</v>
      </c>
      <c r="O91">
        <v>-7.2243650000000006E-2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 s="8" t="s">
        <v>42</v>
      </c>
      <c r="Z91" s="8" t="s">
        <v>42</v>
      </c>
      <c r="AA91" s="8" t="s">
        <v>42</v>
      </c>
    </row>
    <row r="92" spans="1:27" x14ac:dyDescent="0.25">
      <c r="A92">
        <v>2</v>
      </c>
      <c r="B92">
        <v>0.45500000000000002</v>
      </c>
      <c r="C92">
        <v>91</v>
      </c>
      <c r="D92">
        <v>-0.3412</v>
      </c>
      <c r="E92">
        <v>-1.0165</v>
      </c>
      <c r="F92">
        <v>0</v>
      </c>
      <c r="G92">
        <v>1.0722436500000001</v>
      </c>
      <c r="H92">
        <v>1</v>
      </c>
      <c r="I92">
        <v>0</v>
      </c>
      <c r="J92">
        <v>4.3884999999999996</v>
      </c>
      <c r="K92" s="8" t="s">
        <v>42</v>
      </c>
      <c r="L92" s="8" t="s">
        <v>42</v>
      </c>
      <c r="M92">
        <v>0</v>
      </c>
      <c r="N92">
        <v>0</v>
      </c>
      <c r="O92">
        <v>-7.2243650000000006E-2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s="8" t="s">
        <v>42</v>
      </c>
      <c r="Z92" s="8" t="s">
        <v>42</v>
      </c>
      <c r="AA92" s="8" t="s">
        <v>42</v>
      </c>
    </row>
    <row r="93" spans="1:27" x14ac:dyDescent="0.25">
      <c r="A93">
        <v>2</v>
      </c>
      <c r="B93">
        <v>0.46</v>
      </c>
      <c r="C93">
        <v>92</v>
      </c>
      <c r="D93">
        <v>-0.3412</v>
      </c>
      <c r="E93">
        <v>-1.0165</v>
      </c>
      <c r="F93">
        <v>0</v>
      </c>
      <c r="G93">
        <v>1.0722436500000001</v>
      </c>
      <c r="H93">
        <v>1</v>
      </c>
      <c r="I93">
        <v>0</v>
      </c>
      <c r="J93">
        <v>4.3884999999999996</v>
      </c>
      <c r="K93" s="8" t="s">
        <v>42</v>
      </c>
      <c r="L93" s="8" t="s">
        <v>42</v>
      </c>
      <c r="M93">
        <v>0</v>
      </c>
      <c r="N93">
        <v>0</v>
      </c>
      <c r="O93">
        <v>-7.2243650000000006E-2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s="8" t="s">
        <v>42</v>
      </c>
      <c r="Z93" s="8" t="s">
        <v>42</v>
      </c>
      <c r="AA93" s="8" t="s">
        <v>42</v>
      </c>
    </row>
    <row r="94" spans="1:27" x14ac:dyDescent="0.25">
      <c r="A94">
        <v>2</v>
      </c>
      <c r="B94">
        <v>0.46500000000000002</v>
      </c>
      <c r="C94">
        <v>93</v>
      </c>
      <c r="D94">
        <v>-0.3412</v>
      </c>
      <c r="E94">
        <v>-1.0165</v>
      </c>
      <c r="F94">
        <v>0</v>
      </c>
      <c r="G94">
        <v>1.0722436500000001</v>
      </c>
      <c r="H94">
        <v>1</v>
      </c>
      <c r="I94">
        <v>0</v>
      </c>
      <c r="J94">
        <v>4.3884999999999996</v>
      </c>
      <c r="K94" s="8" t="s">
        <v>42</v>
      </c>
      <c r="L94" s="8" t="s">
        <v>42</v>
      </c>
      <c r="M94">
        <v>0</v>
      </c>
      <c r="N94">
        <v>0</v>
      </c>
      <c r="O94">
        <v>-7.2243650000000006E-2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s="8" t="s">
        <v>42</v>
      </c>
      <c r="Z94" s="8" t="s">
        <v>42</v>
      </c>
      <c r="AA94" s="8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1ECFC5-E2E8-45B4-8CCC-7D201C99E9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Plots</vt:lpstr>
      <vt:lpstr>Vals</vt:lpstr>
      <vt:lpstr>ThreeParticleAngleWall0C0</vt:lpstr>
      <vt:lpstr>ThreeParticleAngleWall0C1</vt:lpstr>
      <vt:lpstr>ThreeParticleAngleWall1C0</vt:lpstr>
      <vt:lpstr>ThreeParticleAngleWall2C0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Bell,Jackie M</dc:creator>
  <cp:lastModifiedBy>Bell,Jackie M</cp:lastModifiedBy>
  <dcterms:created xsi:type="dcterms:W3CDTF">2026-03-10T16:49:37Z</dcterms:created>
  <dcterms:modified xsi:type="dcterms:W3CDTF">2026-03-17T14:55:48Z</dcterms:modified>
</cp:coreProperties>
</file>