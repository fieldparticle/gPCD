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_DJ\gPCD\Dynamics\data\"/>
    </mc:Choice>
  </mc:AlternateContent>
  <xr:revisionPtr revIDLastSave="0" documentId="13_ncr:1_{78B29CBA-56FE-450B-9343-D6855831D6F7}" xr6:coauthVersionLast="47" xr6:coauthVersionMax="47" xr10:uidLastSave="{00000000-0000-0000-0000-000000000000}"/>
  <bookViews>
    <workbookView xWindow="-120" yWindow="-120" windowWidth="29040" windowHeight="15720" tabRatio="782" xr2:uid="{D6AA7B77-6C25-49CC-BC6D-BF3CEBA0CCB1}"/>
  </bookViews>
  <sheets>
    <sheet name="Vals" sheetId="1" r:id="rId1"/>
    <sheet name="Plots" sheetId="10" r:id="rId2"/>
    <sheet name="TwoParticleH0C0" sheetId="14" r:id="rId3"/>
    <sheet name="TwoParticleH1C0" sheetId="15" r:id="rId4"/>
  </sheets>
  <definedNames>
    <definedName name="_xleta.PI" hidden="1" xlm="1">#NAME?</definedName>
    <definedName name="ExternalData_1" localSheetId="2" hidden="1">TwoParticleH0C0!$A$1:$V$88</definedName>
    <definedName name="ExternalData_1" localSheetId="3" hidden="1">TwoParticleH1C0!$A$1:$V$88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1" l="1"/>
  <c r="C12" i="1"/>
  <c r="D4" i="1"/>
  <c r="C3" i="1"/>
  <c r="C2" i="1"/>
  <c r="B2" i="1"/>
  <c r="B12" i="1"/>
  <c r="C5" i="1"/>
  <c r="C11" i="1"/>
  <c r="B11" i="1"/>
  <c r="B3" i="1"/>
  <c r="B5" i="1"/>
  <c r="B6" i="1" s="1"/>
  <c r="H2" i="1"/>
  <c r="B4" i="1" l="1"/>
  <c r="C4" i="1"/>
  <c r="D3" i="1"/>
  <c r="C6" i="1"/>
  <c r="D2" i="1"/>
  <c r="E4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9113CFD-188E-4925-950E-8452F9BF33BE}" keepAlive="1" name="Query - TwoParticleOffset0C0" description="Connection to the 'TwoParticleOffset0C0' query in the workbook." type="5" refreshedVersion="8" background="1" saveData="1">
    <dbPr connection="Provider=Microsoft.Mashup.OleDb.1;Data Source=$Workbook$;Location=TwoParticleOffset0C0;Extended Properties=&quot;&quot;" command="SELECT * FROM [TwoParticleOffset0C0]"/>
  </connection>
  <connection id="2" xr16:uid="{A343C0C3-4977-438C-947A-F48AD86D3823}" keepAlive="1" name="Query - TwoParticleOffset1C0" description="Connection to the 'TwoParticleOffset1C0' query in the workbook." type="5" refreshedVersion="8" background="1" saveData="1">
    <dbPr connection="Provider=Microsoft.Mashup.OleDb.1;Data Source=$Workbook$;Location=TwoParticleOffset1C0;Extended Properties=&quot;&quot;" command="SELECT * FROM [TwoParticleOffset1C0]"/>
  </connection>
</connections>
</file>

<file path=xl/sharedStrings.xml><?xml version="1.0" encoding="utf-8"?>
<sst xmlns="http://schemas.openxmlformats.org/spreadsheetml/2006/main" count="57" uniqueCount="35">
  <si>
    <t>P</t>
  </si>
  <si>
    <t>t</t>
  </si>
  <si>
    <t>iter</t>
  </si>
  <si>
    <t>vx</t>
  </si>
  <si>
    <t>vy</t>
  </si>
  <si>
    <t>pen_factor</t>
  </si>
  <si>
    <t>v_mag</t>
  </si>
  <si>
    <t>vel_mag_in</t>
  </si>
  <si>
    <t>imom</t>
  </si>
  <si>
    <t>imomx</t>
  </si>
  <si>
    <t>imomy</t>
  </si>
  <si>
    <t>cur_area</t>
  </si>
  <si>
    <t>area_diff</t>
  </si>
  <si>
    <t>vx_rel</t>
  </si>
  <si>
    <t>vy_rel</t>
  </si>
  <si>
    <t>v_rel</t>
  </si>
  <si>
    <t>col_acc_x</t>
  </si>
  <si>
    <t>col_acc_y</t>
  </si>
  <si>
    <t>v_ang</t>
  </si>
  <si>
    <t>P0 C0</t>
  </si>
  <si>
    <t xml:space="preserve">P1 C0 </t>
  </si>
  <si>
    <t>Sum</t>
  </si>
  <si>
    <t>Part</t>
  </si>
  <si>
    <t>col_acc_mag</t>
  </si>
  <si>
    <t>v_coll</t>
  </si>
  <si>
    <t>R</t>
  </si>
  <si>
    <t>Area</t>
  </si>
  <si>
    <t>tot_area</t>
  </si>
  <si>
    <t>Start Velocity Mag</t>
  </si>
  <si>
    <t>End Velocity Mag</t>
  </si>
  <si>
    <t>Relative Velcocity Start</t>
  </si>
  <si>
    <t>Mag</t>
  </si>
  <si>
    <t>DIff</t>
  </si>
  <si>
    <t>Mag V_rel</t>
  </si>
  <si>
    <t>v_coll 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</si>
</sst>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"/>
    <numFmt numFmtId="165" formatCode="0.00000000"/>
    <numFmt numFmtId="166" formatCode="0.000000"/>
  </numFmts>
  <fonts count="1" x14ac:knownFonts="1"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0" borderId="1" xfId="0" applyBorder="1"/>
    <xf numFmtId="166" fontId="0" fillId="0" borderId="1" xfId="0" applyNumberFormat="1" applyBorder="1"/>
    <xf numFmtId="165" fontId="0" fillId="0" borderId="1" xfId="0" applyNumberFormat="1" applyBorder="1"/>
    <xf numFmtId="0" fontId="0" fillId="2" borderId="1" xfId="0" applyFill="1" applyBorder="1"/>
    <xf numFmtId="165" fontId="0" fillId="2" borderId="1" xfId="0" applyNumberFormat="1" applyFill="1" applyBorder="1"/>
  </cellXfs>
  <cellStyles count="1">
    <cellStyle name="Normal" xfId="0" builtinId="0"/>
  </cellStyles>
  <dxfs count="3">
    <dxf>
      <numFmt numFmtId="165" formatCode="0.00000000"/>
    </dxf>
    <dxf>
      <numFmt numFmtId="165" formatCode="0.00000000"/>
    </dxf>
    <dxf>
      <numFmt numFmtId="165" formatCode="0.0000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TwoParticleH0C0!$D$2:$D$88</c:f>
              <c:numCache>
                <c:formatCode>General</c:formatCode>
                <c:ptCount val="87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0.94989999999999997</c:v>
                </c:pt>
                <c:pt idx="20">
                  <c:v>0.94879999999999998</c:v>
                </c:pt>
                <c:pt idx="21">
                  <c:v>0.94630000000000003</c:v>
                </c:pt>
                <c:pt idx="22">
                  <c:v>0.94220000000000004</c:v>
                </c:pt>
                <c:pt idx="23">
                  <c:v>0.93620000000000003</c:v>
                </c:pt>
                <c:pt idx="24">
                  <c:v>0.92830000000000001</c:v>
                </c:pt>
                <c:pt idx="25">
                  <c:v>0.91849999999999998</c:v>
                </c:pt>
                <c:pt idx="26">
                  <c:v>0.90690000000000004</c:v>
                </c:pt>
                <c:pt idx="27">
                  <c:v>0.89349999999999996</c:v>
                </c:pt>
                <c:pt idx="28">
                  <c:v>0.87849999999999995</c:v>
                </c:pt>
                <c:pt idx="29">
                  <c:v>0.86199999999999999</c:v>
                </c:pt>
                <c:pt idx="30">
                  <c:v>0.84440000000000004</c:v>
                </c:pt>
                <c:pt idx="31">
                  <c:v>0.82579999999999998</c:v>
                </c:pt>
                <c:pt idx="32">
                  <c:v>0.80649999999999999</c:v>
                </c:pt>
                <c:pt idx="33">
                  <c:v>0.78680000000000005</c:v>
                </c:pt>
                <c:pt idx="34">
                  <c:v>0.76700000000000002</c:v>
                </c:pt>
                <c:pt idx="35">
                  <c:v>0.74739999999999995</c:v>
                </c:pt>
                <c:pt idx="36">
                  <c:v>0.72819999999999996</c:v>
                </c:pt>
                <c:pt idx="37">
                  <c:v>0.7097</c:v>
                </c:pt>
                <c:pt idx="38">
                  <c:v>0.69210000000000005</c:v>
                </c:pt>
                <c:pt idx="39">
                  <c:v>0.67569999999999997</c:v>
                </c:pt>
                <c:pt idx="40">
                  <c:v>0.66049999999999998</c:v>
                </c:pt>
                <c:pt idx="41">
                  <c:v>0.64680000000000004</c:v>
                </c:pt>
                <c:pt idx="42">
                  <c:v>0.63460000000000005</c:v>
                </c:pt>
                <c:pt idx="43">
                  <c:v>0.62390000000000001</c:v>
                </c:pt>
                <c:pt idx="44">
                  <c:v>0.61480000000000001</c:v>
                </c:pt>
                <c:pt idx="45">
                  <c:v>0.60729999999999995</c:v>
                </c:pt>
                <c:pt idx="46">
                  <c:v>0.60119999999999996</c:v>
                </c:pt>
                <c:pt idx="47">
                  <c:v>0.59660000000000002</c:v>
                </c:pt>
                <c:pt idx="48">
                  <c:v>0.59319999999999995</c:v>
                </c:pt>
                <c:pt idx="49">
                  <c:v>0.59099999999999997</c:v>
                </c:pt>
                <c:pt idx="50">
                  <c:v>0.5897</c:v>
                </c:pt>
                <c:pt idx="51">
                  <c:v>0.58919999999999995</c:v>
                </c:pt>
                <c:pt idx="52">
                  <c:v>0.58909999999999996</c:v>
                </c:pt>
                <c:pt idx="53">
                  <c:v>0.58909999999999996</c:v>
                </c:pt>
                <c:pt idx="54">
                  <c:v>0.58909999999999996</c:v>
                </c:pt>
                <c:pt idx="55">
                  <c:v>0.58909999999999996</c:v>
                </c:pt>
                <c:pt idx="56">
                  <c:v>0.58909999999999996</c:v>
                </c:pt>
                <c:pt idx="57">
                  <c:v>0.58909999999999996</c:v>
                </c:pt>
                <c:pt idx="58">
                  <c:v>0.58909999999999996</c:v>
                </c:pt>
                <c:pt idx="59">
                  <c:v>0.58909999999999996</c:v>
                </c:pt>
                <c:pt idx="60">
                  <c:v>0.58909999999999996</c:v>
                </c:pt>
                <c:pt idx="61">
                  <c:v>0.58909999999999996</c:v>
                </c:pt>
                <c:pt idx="62">
                  <c:v>0.58909999999999996</c:v>
                </c:pt>
                <c:pt idx="63">
                  <c:v>0.58909999999999996</c:v>
                </c:pt>
                <c:pt idx="64">
                  <c:v>0.58909999999999996</c:v>
                </c:pt>
                <c:pt idx="65">
                  <c:v>0.58909999999999996</c:v>
                </c:pt>
                <c:pt idx="66">
                  <c:v>0.58909999999999996</c:v>
                </c:pt>
                <c:pt idx="67">
                  <c:v>0.58909999999999996</c:v>
                </c:pt>
                <c:pt idx="68">
                  <c:v>0.58909999999999996</c:v>
                </c:pt>
                <c:pt idx="69">
                  <c:v>0.58909999999999996</c:v>
                </c:pt>
                <c:pt idx="70">
                  <c:v>0.58909999999999996</c:v>
                </c:pt>
                <c:pt idx="71">
                  <c:v>0.58909999999999996</c:v>
                </c:pt>
                <c:pt idx="72">
                  <c:v>0.58909999999999996</c:v>
                </c:pt>
                <c:pt idx="73">
                  <c:v>0.58909999999999996</c:v>
                </c:pt>
                <c:pt idx="74">
                  <c:v>0.58909999999999996</c:v>
                </c:pt>
                <c:pt idx="75">
                  <c:v>0.58909999999999996</c:v>
                </c:pt>
                <c:pt idx="76">
                  <c:v>0.58909999999999996</c:v>
                </c:pt>
                <c:pt idx="77">
                  <c:v>0.58909999999999996</c:v>
                </c:pt>
                <c:pt idx="78">
                  <c:v>0.58909999999999996</c:v>
                </c:pt>
                <c:pt idx="79">
                  <c:v>0.58909999999999996</c:v>
                </c:pt>
                <c:pt idx="80">
                  <c:v>0.58909999999999996</c:v>
                </c:pt>
                <c:pt idx="81">
                  <c:v>0.58909999999999996</c:v>
                </c:pt>
                <c:pt idx="82">
                  <c:v>0.58909999999999996</c:v>
                </c:pt>
                <c:pt idx="83">
                  <c:v>0.58909999999999996</c:v>
                </c:pt>
                <c:pt idx="84">
                  <c:v>0.58909999999999996</c:v>
                </c:pt>
                <c:pt idx="85">
                  <c:v>0.58909999999999996</c:v>
                </c:pt>
                <c:pt idx="86">
                  <c:v>0.58909999999999996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4E-4870-9917-B533028D584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TwoParticleH0C0!$E$2:$E$88</c:f>
              <c:numCache>
                <c:formatCode>General</c:formatCode>
                <c:ptCount val="87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5.0200000000000002E-2</c:v>
                </c:pt>
                <c:pt idx="20">
                  <c:v>5.1700000000000003E-2</c:v>
                </c:pt>
                <c:pt idx="21">
                  <c:v>5.5199999999999999E-2</c:v>
                </c:pt>
                <c:pt idx="22">
                  <c:v>6.13E-2</c:v>
                </c:pt>
                <c:pt idx="23">
                  <c:v>7.0099999999999996E-2</c:v>
                </c:pt>
                <c:pt idx="24">
                  <c:v>8.2100000000000006E-2</c:v>
                </c:pt>
                <c:pt idx="25">
                  <c:v>9.7299999999999998E-2</c:v>
                </c:pt>
                <c:pt idx="26">
                  <c:v>0.1158</c:v>
                </c:pt>
                <c:pt idx="27">
                  <c:v>0.13769999999999999</c:v>
                </c:pt>
                <c:pt idx="28">
                  <c:v>0.16270000000000001</c:v>
                </c:pt>
                <c:pt idx="29">
                  <c:v>0.1908</c:v>
                </c:pt>
                <c:pt idx="30">
                  <c:v>0.2218</c:v>
                </c:pt>
                <c:pt idx="31">
                  <c:v>0.25530000000000003</c:v>
                </c:pt>
                <c:pt idx="32">
                  <c:v>0.29089999999999999</c:v>
                </c:pt>
                <c:pt idx="33">
                  <c:v>0.32819999999999999</c:v>
                </c:pt>
                <c:pt idx="34">
                  <c:v>0.36680000000000001</c:v>
                </c:pt>
                <c:pt idx="35">
                  <c:v>0.40610000000000002</c:v>
                </c:pt>
                <c:pt idx="36">
                  <c:v>0.4456</c:v>
                </c:pt>
                <c:pt idx="37">
                  <c:v>0.48480000000000001</c:v>
                </c:pt>
                <c:pt idx="38">
                  <c:v>0.5232</c:v>
                </c:pt>
                <c:pt idx="39">
                  <c:v>0.56010000000000004</c:v>
                </c:pt>
                <c:pt idx="40">
                  <c:v>0.59519999999999995</c:v>
                </c:pt>
                <c:pt idx="41">
                  <c:v>0.628</c:v>
                </c:pt>
                <c:pt idx="42">
                  <c:v>0.65810000000000002</c:v>
                </c:pt>
                <c:pt idx="43">
                  <c:v>0.68520000000000003</c:v>
                </c:pt>
                <c:pt idx="44">
                  <c:v>0.70899999999999996</c:v>
                </c:pt>
                <c:pt idx="45">
                  <c:v>0.72950000000000004</c:v>
                </c:pt>
                <c:pt idx="46">
                  <c:v>0.74639999999999995</c:v>
                </c:pt>
                <c:pt idx="47">
                  <c:v>0.75980000000000003</c:v>
                </c:pt>
                <c:pt idx="48">
                  <c:v>0.76980000000000004</c:v>
                </c:pt>
                <c:pt idx="49">
                  <c:v>0.77669999999999995</c:v>
                </c:pt>
                <c:pt idx="50">
                  <c:v>0.78080000000000005</c:v>
                </c:pt>
                <c:pt idx="51">
                  <c:v>0.78249999999999997</c:v>
                </c:pt>
                <c:pt idx="52">
                  <c:v>0.78269999999999995</c:v>
                </c:pt>
                <c:pt idx="53">
                  <c:v>0.78269999999999995</c:v>
                </c:pt>
                <c:pt idx="54">
                  <c:v>0.78269999999999995</c:v>
                </c:pt>
                <c:pt idx="55">
                  <c:v>0.78269999999999995</c:v>
                </c:pt>
                <c:pt idx="56">
                  <c:v>0.78269999999999995</c:v>
                </c:pt>
                <c:pt idx="57">
                  <c:v>0.78269999999999995</c:v>
                </c:pt>
                <c:pt idx="58">
                  <c:v>0.78269999999999995</c:v>
                </c:pt>
                <c:pt idx="59">
                  <c:v>0.78269999999999995</c:v>
                </c:pt>
                <c:pt idx="60">
                  <c:v>0.78269999999999995</c:v>
                </c:pt>
                <c:pt idx="61">
                  <c:v>0.78269999999999995</c:v>
                </c:pt>
                <c:pt idx="62">
                  <c:v>0.78269999999999995</c:v>
                </c:pt>
                <c:pt idx="63">
                  <c:v>0.78269999999999995</c:v>
                </c:pt>
                <c:pt idx="64">
                  <c:v>0.78269999999999995</c:v>
                </c:pt>
                <c:pt idx="65">
                  <c:v>0.78269999999999995</c:v>
                </c:pt>
                <c:pt idx="66">
                  <c:v>0.78269999999999995</c:v>
                </c:pt>
                <c:pt idx="67">
                  <c:v>0.78269999999999995</c:v>
                </c:pt>
                <c:pt idx="68">
                  <c:v>0.78269999999999995</c:v>
                </c:pt>
                <c:pt idx="69">
                  <c:v>0.78269999999999995</c:v>
                </c:pt>
                <c:pt idx="70">
                  <c:v>0.78269999999999995</c:v>
                </c:pt>
                <c:pt idx="71">
                  <c:v>0.78269999999999995</c:v>
                </c:pt>
                <c:pt idx="72">
                  <c:v>0.78269999999999995</c:v>
                </c:pt>
                <c:pt idx="73">
                  <c:v>0.78269999999999995</c:v>
                </c:pt>
                <c:pt idx="74">
                  <c:v>0.78269999999999995</c:v>
                </c:pt>
                <c:pt idx="75">
                  <c:v>0.78269999999999995</c:v>
                </c:pt>
                <c:pt idx="76">
                  <c:v>0.78269999999999995</c:v>
                </c:pt>
                <c:pt idx="77">
                  <c:v>0.78269999999999995</c:v>
                </c:pt>
                <c:pt idx="78">
                  <c:v>0.78269999999999995</c:v>
                </c:pt>
                <c:pt idx="79">
                  <c:v>0.78269999999999995</c:v>
                </c:pt>
                <c:pt idx="80">
                  <c:v>0.78269999999999995</c:v>
                </c:pt>
                <c:pt idx="81">
                  <c:v>0.78269999999999995</c:v>
                </c:pt>
                <c:pt idx="82">
                  <c:v>0.78269999999999995</c:v>
                </c:pt>
                <c:pt idx="83">
                  <c:v>0.78269999999999995</c:v>
                </c:pt>
                <c:pt idx="84">
                  <c:v>0.78269999999999995</c:v>
                </c:pt>
                <c:pt idx="85">
                  <c:v>0.78269999999999995</c:v>
                </c:pt>
                <c:pt idx="86">
                  <c:v>0.78269999999999995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4E-4870-9917-B533028D584C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TwoParticleH0C0!$G$2:$G$88</c:f>
              <c:numCache>
                <c:formatCode>General</c:formatCode>
                <c:ptCount val="87"/>
                <c:pt idx="0">
                  <c:v>0</c:v>
                </c:pt>
                <c:pt idx="1">
                  <c:v>0.95131487999999997</c:v>
                </c:pt>
                <c:pt idx="2">
                  <c:v>0.95131487999999997</c:v>
                </c:pt>
                <c:pt idx="3">
                  <c:v>0.95131487999999997</c:v>
                </c:pt>
                <c:pt idx="4">
                  <c:v>0.95131487999999997</c:v>
                </c:pt>
                <c:pt idx="5">
                  <c:v>0.95131487999999997</c:v>
                </c:pt>
                <c:pt idx="6">
                  <c:v>0.95131487999999997</c:v>
                </c:pt>
                <c:pt idx="7">
                  <c:v>0.95131487999999997</c:v>
                </c:pt>
                <c:pt idx="8">
                  <c:v>0.95131487999999997</c:v>
                </c:pt>
                <c:pt idx="9">
                  <c:v>0.95131487999999997</c:v>
                </c:pt>
                <c:pt idx="10">
                  <c:v>0.95131487999999997</c:v>
                </c:pt>
                <c:pt idx="11">
                  <c:v>0.95131487999999997</c:v>
                </c:pt>
                <c:pt idx="12">
                  <c:v>0.95131487999999997</c:v>
                </c:pt>
                <c:pt idx="13">
                  <c:v>0.95131487999999997</c:v>
                </c:pt>
                <c:pt idx="14">
                  <c:v>0.95131487999999997</c:v>
                </c:pt>
                <c:pt idx="15">
                  <c:v>0.95131487999999997</c:v>
                </c:pt>
                <c:pt idx="16">
                  <c:v>0.95131487999999997</c:v>
                </c:pt>
                <c:pt idx="17">
                  <c:v>0.95131487999999997</c:v>
                </c:pt>
                <c:pt idx="18">
                  <c:v>0.95131487999999997</c:v>
                </c:pt>
                <c:pt idx="19">
                  <c:v>0.95120276000000004</c:v>
                </c:pt>
                <c:pt idx="20">
                  <c:v>0.95020053999999998</c:v>
                </c:pt>
                <c:pt idx="21">
                  <c:v>0.94791504999999998</c:v>
                </c:pt>
                <c:pt idx="22">
                  <c:v>0.94414262000000004</c:v>
                </c:pt>
                <c:pt idx="23">
                  <c:v>0.93880520000000001</c:v>
                </c:pt>
                <c:pt idx="24">
                  <c:v>0.93193563000000001</c:v>
                </c:pt>
                <c:pt idx="25">
                  <c:v>0.92367284000000005</c:v>
                </c:pt>
                <c:pt idx="26">
                  <c:v>0.91425825999999999</c:v>
                </c:pt>
                <c:pt idx="27">
                  <c:v>0.90402974000000003</c:v>
                </c:pt>
                <c:pt idx="28">
                  <c:v>0.89341079999999995</c:v>
                </c:pt>
                <c:pt idx="29">
                  <c:v>0.88289342000000004</c:v>
                </c:pt>
                <c:pt idx="30">
                  <c:v>0.87301355000000003</c:v>
                </c:pt>
                <c:pt idx="31">
                  <c:v>0.86431906999999997</c:v>
                </c:pt>
                <c:pt idx="32">
                  <c:v>0.85733159999999997</c:v>
                </c:pt>
                <c:pt idx="33">
                  <c:v>0.85250493999999999</c:v>
                </c:pt>
                <c:pt idx="34">
                  <c:v>0.85018475999999998</c:v>
                </c:pt>
                <c:pt idx="35">
                  <c:v>0.85057521999999997</c:v>
                </c:pt>
                <c:pt idx="36">
                  <c:v>0.85371801000000003</c:v>
                </c:pt>
                <c:pt idx="37">
                  <c:v>0.85948742</c:v>
                </c:pt>
                <c:pt idx="38">
                  <c:v>0.86760250999999999</c:v>
                </c:pt>
                <c:pt idx="39">
                  <c:v>0.87765393000000003</c:v>
                </c:pt>
                <c:pt idx="40">
                  <c:v>0.88914068000000002</c:v>
                </c:pt>
                <c:pt idx="41">
                  <c:v>0.90151121999999995</c:v>
                </c:pt>
                <c:pt idx="42">
                  <c:v>0.91420369000000001</c:v>
                </c:pt>
                <c:pt idx="43">
                  <c:v>0.92668147000000001</c:v>
                </c:pt>
                <c:pt idx="44">
                  <c:v>0.93846202999999995</c:v>
                </c:pt>
                <c:pt idx="45">
                  <c:v>0.94913846999999996</c:v>
                </c:pt>
                <c:pt idx="46">
                  <c:v>0.95839426000000005</c:v>
                </c:pt>
                <c:pt idx="47">
                  <c:v>0.96601230000000005</c:v>
                </c:pt>
                <c:pt idx="48">
                  <c:v>0.97188005</c:v>
                </c:pt>
                <c:pt idx="49">
                  <c:v>0.97599298999999995</c:v>
                </c:pt>
                <c:pt idx="50">
                  <c:v>0.97846043000000005</c:v>
                </c:pt>
                <c:pt idx="51">
                  <c:v>0.97952309999999998</c:v>
                </c:pt>
                <c:pt idx="52">
                  <c:v>0.97962802000000004</c:v>
                </c:pt>
                <c:pt idx="53">
                  <c:v>0.97962802000000004</c:v>
                </c:pt>
                <c:pt idx="54">
                  <c:v>0.97962802000000004</c:v>
                </c:pt>
                <c:pt idx="55">
                  <c:v>0.97962802000000004</c:v>
                </c:pt>
                <c:pt idx="56">
                  <c:v>0.97962802000000004</c:v>
                </c:pt>
                <c:pt idx="57">
                  <c:v>0.97962802000000004</c:v>
                </c:pt>
                <c:pt idx="58">
                  <c:v>0.97962802000000004</c:v>
                </c:pt>
                <c:pt idx="59">
                  <c:v>0.97962802000000004</c:v>
                </c:pt>
                <c:pt idx="60">
                  <c:v>0.97962802000000004</c:v>
                </c:pt>
                <c:pt idx="61">
                  <c:v>0.97962802000000004</c:v>
                </c:pt>
                <c:pt idx="62">
                  <c:v>0.97962802000000004</c:v>
                </c:pt>
                <c:pt idx="63">
                  <c:v>0.97962802000000004</c:v>
                </c:pt>
                <c:pt idx="64">
                  <c:v>0.97962802000000004</c:v>
                </c:pt>
                <c:pt idx="65">
                  <c:v>0.97962802000000004</c:v>
                </c:pt>
                <c:pt idx="66">
                  <c:v>0.97962802000000004</c:v>
                </c:pt>
                <c:pt idx="67">
                  <c:v>0.97962802000000004</c:v>
                </c:pt>
                <c:pt idx="68">
                  <c:v>0.97962802000000004</c:v>
                </c:pt>
                <c:pt idx="69">
                  <c:v>0.97962802000000004</c:v>
                </c:pt>
                <c:pt idx="70">
                  <c:v>0.97962802000000004</c:v>
                </c:pt>
                <c:pt idx="71">
                  <c:v>0.97962802000000004</c:v>
                </c:pt>
                <c:pt idx="72">
                  <c:v>0.97962802000000004</c:v>
                </c:pt>
                <c:pt idx="73">
                  <c:v>0.97962802000000004</c:v>
                </c:pt>
                <c:pt idx="74">
                  <c:v>0.97962802000000004</c:v>
                </c:pt>
                <c:pt idx="75">
                  <c:v>0.97962802000000004</c:v>
                </c:pt>
                <c:pt idx="76">
                  <c:v>0.97962802000000004</c:v>
                </c:pt>
                <c:pt idx="77">
                  <c:v>0.97962802000000004</c:v>
                </c:pt>
                <c:pt idx="78">
                  <c:v>0.97962802000000004</c:v>
                </c:pt>
                <c:pt idx="79">
                  <c:v>0.97962802000000004</c:v>
                </c:pt>
                <c:pt idx="80">
                  <c:v>0.97962802000000004</c:v>
                </c:pt>
                <c:pt idx="81">
                  <c:v>0.97962802000000004</c:v>
                </c:pt>
                <c:pt idx="82">
                  <c:v>0.97962802000000004</c:v>
                </c:pt>
                <c:pt idx="83">
                  <c:v>0.97962802000000004</c:v>
                </c:pt>
                <c:pt idx="84">
                  <c:v>0.97962802000000004</c:v>
                </c:pt>
                <c:pt idx="85">
                  <c:v>0.97962802000000004</c:v>
                </c:pt>
                <c:pt idx="86">
                  <c:v>0.97962802000000004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4E-4870-9917-B533028D5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792671"/>
        <c:axId val="641790751"/>
      </c:scatterChart>
      <c:valAx>
        <c:axId val="641792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790751"/>
        <c:crosses val="autoZero"/>
        <c:crossBetween val="midCat"/>
      </c:valAx>
      <c:valAx>
        <c:axId val="641790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792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TwoParticleH1C0!$D$2:$D$88</c:f>
              <c:numCache>
                <c:formatCode>General</c:formatCode>
                <c:ptCount val="87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-0.99990000000000001</c:v>
                </c:pt>
                <c:pt idx="20">
                  <c:v>-0.99880000000000002</c:v>
                </c:pt>
                <c:pt idx="21">
                  <c:v>-0.99629999999999996</c:v>
                </c:pt>
                <c:pt idx="22">
                  <c:v>-0.99219999999999997</c:v>
                </c:pt>
                <c:pt idx="23">
                  <c:v>-0.98619999999999997</c:v>
                </c:pt>
                <c:pt idx="24">
                  <c:v>-0.97829999999999995</c:v>
                </c:pt>
                <c:pt idx="25">
                  <c:v>-0.96850000000000003</c:v>
                </c:pt>
                <c:pt idx="26">
                  <c:v>-0.95689999999999997</c:v>
                </c:pt>
                <c:pt idx="27">
                  <c:v>-0.94350000000000001</c:v>
                </c:pt>
                <c:pt idx="28">
                  <c:v>-0.92849999999999999</c:v>
                </c:pt>
                <c:pt idx="29">
                  <c:v>-0.91200000000000003</c:v>
                </c:pt>
                <c:pt idx="30">
                  <c:v>-0.89439999999999997</c:v>
                </c:pt>
                <c:pt idx="31">
                  <c:v>-0.87580000000000002</c:v>
                </c:pt>
                <c:pt idx="32">
                  <c:v>-0.85650000000000004</c:v>
                </c:pt>
                <c:pt idx="33">
                  <c:v>-0.83679999999999999</c:v>
                </c:pt>
                <c:pt idx="34">
                  <c:v>-0.81699999999999995</c:v>
                </c:pt>
                <c:pt idx="35">
                  <c:v>-0.7974</c:v>
                </c:pt>
                <c:pt idx="36">
                  <c:v>-0.7782</c:v>
                </c:pt>
                <c:pt idx="37">
                  <c:v>-0.75970000000000004</c:v>
                </c:pt>
                <c:pt idx="38">
                  <c:v>-0.74209999999999998</c:v>
                </c:pt>
                <c:pt idx="39">
                  <c:v>-0.72570000000000001</c:v>
                </c:pt>
                <c:pt idx="40">
                  <c:v>-0.71050000000000002</c:v>
                </c:pt>
                <c:pt idx="41">
                  <c:v>-0.69679999999999997</c:v>
                </c:pt>
                <c:pt idx="42">
                  <c:v>-0.68459999999999999</c:v>
                </c:pt>
                <c:pt idx="43">
                  <c:v>-0.67390000000000005</c:v>
                </c:pt>
                <c:pt idx="44">
                  <c:v>-0.66479999999999995</c:v>
                </c:pt>
                <c:pt idx="45">
                  <c:v>-0.6573</c:v>
                </c:pt>
                <c:pt idx="46">
                  <c:v>-0.6512</c:v>
                </c:pt>
                <c:pt idx="47">
                  <c:v>-0.64659999999999995</c:v>
                </c:pt>
                <c:pt idx="48">
                  <c:v>-0.64319999999999999</c:v>
                </c:pt>
                <c:pt idx="49">
                  <c:v>-0.64100000000000001</c:v>
                </c:pt>
                <c:pt idx="50">
                  <c:v>-0.63970000000000005</c:v>
                </c:pt>
                <c:pt idx="51">
                  <c:v>-0.63919999999999999</c:v>
                </c:pt>
                <c:pt idx="52">
                  <c:v>-0.6391</c:v>
                </c:pt>
                <c:pt idx="53">
                  <c:v>-0.6391</c:v>
                </c:pt>
                <c:pt idx="54">
                  <c:v>-0.6391</c:v>
                </c:pt>
                <c:pt idx="55">
                  <c:v>-0.6391</c:v>
                </c:pt>
                <c:pt idx="56">
                  <c:v>-0.6391</c:v>
                </c:pt>
                <c:pt idx="57">
                  <c:v>-0.6391</c:v>
                </c:pt>
                <c:pt idx="58">
                  <c:v>-0.6391</c:v>
                </c:pt>
                <c:pt idx="59">
                  <c:v>-0.6391</c:v>
                </c:pt>
                <c:pt idx="60">
                  <c:v>-0.6391</c:v>
                </c:pt>
                <c:pt idx="61">
                  <c:v>-0.6391</c:v>
                </c:pt>
                <c:pt idx="62">
                  <c:v>-0.6391</c:v>
                </c:pt>
                <c:pt idx="63">
                  <c:v>-0.6391</c:v>
                </c:pt>
                <c:pt idx="64">
                  <c:v>-0.6391</c:v>
                </c:pt>
                <c:pt idx="65">
                  <c:v>-0.6391</c:v>
                </c:pt>
                <c:pt idx="66">
                  <c:v>-0.6391</c:v>
                </c:pt>
                <c:pt idx="67">
                  <c:v>-0.6391</c:v>
                </c:pt>
                <c:pt idx="68">
                  <c:v>-0.6391</c:v>
                </c:pt>
                <c:pt idx="69">
                  <c:v>-0.6391</c:v>
                </c:pt>
                <c:pt idx="70">
                  <c:v>-0.6391</c:v>
                </c:pt>
                <c:pt idx="71">
                  <c:v>-0.6391</c:v>
                </c:pt>
                <c:pt idx="72">
                  <c:v>-0.6391</c:v>
                </c:pt>
                <c:pt idx="73">
                  <c:v>-0.6391</c:v>
                </c:pt>
                <c:pt idx="74">
                  <c:v>-0.6391</c:v>
                </c:pt>
                <c:pt idx="75">
                  <c:v>-0.6391</c:v>
                </c:pt>
                <c:pt idx="76">
                  <c:v>-0.6391</c:v>
                </c:pt>
                <c:pt idx="77">
                  <c:v>-0.6391</c:v>
                </c:pt>
                <c:pt idx="78">
                  <c:v>-0.6391</c:v>
                </c:pt>
                <c:pt idx="79">
                  <c:v>-0.6391</c:v>
                </c:pt>
                <c:pt idx="80">
                  <c:v>-0.6391</c:v>
                </c:pt>
                <c:pt idx="81">
                  <c:v>-0.6391</c:v>
                </c:pt>
                <c:pt idx="82">
                  <c:v>-0.6391</c:v>
                </c:pt>
                <c:pt idx="83">
                  <c:v>-0.6391</c:v>
                </c:pt>
                <c:pt idx="84">
                  <c:v>-0.6391</c:v>
                </c:pt>
                <c:pt idx="85">
                  <c:v>-0.6391</c:v>
                </c:pt>
                <c:pt idx="86">
                  <c:v>-0.6391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0F-4FDA-B0AD-46D685974EEB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TwoParticleH1C0!$E$2:$E$88</c:f>
              <c:numCache>
                <c:formatCode>General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-2.0000000000000001E-4</c:v>
                </c:pt>
                <c:pt idx="20">
                  <c:v>-1.6999999999999999E-3</c:v>
                </c:pt>
                <c:pt idx="21">
                  <c:v>-5.1999999999999998E-3</c:v>
                </c:pt>
                <c:pt idx="22">
                  <c:v>-1.1299999999999999E-2</c:v>
                </c:pt>
                <c:pt idx="23">
                  <c:v>-2.01E-2</c:v>
                </c:pt>
                <c:pt idx="24">
                  <c:v>-3.2099999999999997E-2</c:v>
                </c:pt>
                <c:pt idx="25">
                  <c:v>-4.7300000000000002E-2</c:v>
                </c:pt>
                <c:pt idx="26">
                  <c:v>-6.5799999999999997E-2</c:v>
                </c:pt>
                <c:pt idx="27">
                  <c:v>-8.77E-2</c:v>
                </c:pt>
                <c:pt idx="28">
                  <c:v>-0.11269999999999999</c:v>
                </c:pt>
                <c:pt idx="29">
                  <c:v>-0.14080000000000001</c:v>
                </c:pt>
                <c:pt idx="30">
                  <c:v>-0.17180000000000001</c:v>
                </c:pt>
                <c:pt idx="31">
                  <c:v>-0.20530000000000001</c:v>
                </c:pt>
                <c:pt idx="32">
                  <c:v>-0.2409</c:v>
                </c:pt>
                <c:pt idx="33">
                  <c:v>-0.2782</c:v>
                </c:pt>
                <c:pt idx="34">
                  <c:v>-0.31680000000000003</c:v>
                </c:pt>
                <c:pt idx="35">
                  <c:v>-0.35610000000000003</c:v>
                </c:pt>
                <c:pt idx="36">
                  <c:v>-0.39560000000000001</c:v>
                </c:pt>
                <c:pt idx="37">
                  <c:v>-0.43480000000000002</c:v>
                </c:pt>
                <c:pt idx="38">
                  <c:v>-0.47320000000000001</c:v>
                </c:pt>
                <c:pt idx="39">
                  <c:v>-0.5101</c:v>
                </c:pt>
                <c:pt idx="40">
                  <c:v>-0.54520000000000002</c:v>
                </c:pt>
                <c:pt idx="41">
                  <c:v>-0.57799999999999996</c:v>
                </c:pt>
                <c:pt idx="42">
                  <c:v>-0.60809999999999997</c:v>
                </c:pt>
                <c:pt idx="43">
                  <c:v>-0.63519999999999999</c:v>
                </c:pt>
                <c:pt idx="44">
                  <c:v>-0.65900000000000003</c:v>
                </c:pt>
                <c:pt idx="45">
                  <c:v>-0.67949999999999999</c:v>
                </c:pt>
                <c:pt idx="46">
                  <c:v>-0.69640000000000002</c:v>
                </c:pt>
                <c:pt idx="47">
                  <c:v>-0.70979999999999999</c:v>
                </c:pt>
                <c:pt idx="48">
                  <c:v>-0.7198</c:v>
                </c:pt>
                <c:pt idx="49">
                  <c:v>-0.72670000000000001</c:v>
                </c:pt>
                <c:pt idx="50">
                  <c:v>-0.73080000000000001</c:v>
                </c:pt>
                <c:pt idx="51">
                  <c:v>-0.73250000000000004</c:v>
                </c:pt>
                <c:pt idx="52">
                  <c:v>-0.73270000000000002</c:v>
                </c:pt>
                <c:pt idx="53">
                  <c:v>-0.73270000000000002</c:v>
                </c:pt>
                <c:pt idx="54">
                  <c:v>-0.73270000000000002</c:v>
                </c:pt>
                <c:pt idx="55">
                  <c:v>-0.73270000000000002</c:v>
                </c:pt>
                <c:pt idx="56">
                  <c:v>-0.73270000000000002</c:v>
                </c:pt>
                <c:pt idx="57">
                  <c:v>-0.73270000000000002</c:v>
                </c:pt>
                <c:pt idx="58">
                  <c:v>-0.73270000000000002</c:v>
                </c:pt>
                <c:pt idx="59">
                  <c:v>-0.73270000000000002</c:v>
                </c:pt>
                <c:pt idx="60">
                  <c:v>-0.73270000000000002</c:v>
                </c:pt>
                <c:pt idx="61">
                  <c:v>-0.73270000000000002</c:v>
                </c:pt>
                <c:pt idx="62">
                  <c:v>-0.73270000000000002</c:v>
                </c:pt>
                <c:pt idx="63">
                  <c:v>-0.73270000000000002</c:v>
                </c:pt>
                <c:pt idx="64">
                  <c:v>-0.73270000000000002</c:v>
                </c:pt>
                <c:pt idx="65">
                  <c:v>-0.73270000000000002</c:v>
                </c:pt>
                <c:pt idx="66">
                  <c:v>-0.73270000000000002</c:v>
                </c:pt>
                <c:pt idx="67">
                  <c:v>-0.73270000000000002</c:v>
                </c:pt>
                <c:pt idx="68">
                  <c:v>-0.73270000000000002</c:v>
                </c:pt>
                <c:pt idx="69">
                  <c:v>-0.73270000000000002</c:v>
                </c:pt>
                <c:pt idx="70">
                  <c:v>-0.73270000000000002</c:v>
                </c:pt>
                <c:pt idx="71">
                  <c:v>-0.73270000000000002</c:v>
                </c:pt>
                <c:pt idx="72">
                  <c:v>-0.73270000000000002</c:v>
                </c:pt>
                <c:pt idx="73">
                  <c:v>-0.73270000000000002</c:v>
                </c:pt>
                <c:pt idx="74">
                  <c:v>-0.73270000000000002</c:v>
                </c:pt>
                <c:pt idx="75">
                  <c:v>-0.73270000000000002</c:v>
                </c:pt>
                <c:pt idx="76">
                  <c:v>-0.73270000000000002</c:v>
                </c:pt>
                <c:pt idx="77">
                  <c:v>-0.73270000000000002</c:v>
                </c:pt>
                <c:pt idx="78">
                  <c:v>-0.73270000000000002</c:v>
                </c:pt>
                <c:pt idx="79">
                  <c:v>-0.73270000000000002</c:v>
                </c:pt>
                <c:pt idx="80">
                  <c:v>-0.73270000000000002</c:v>
                </c:pt>
                <c:pt idx="81">
                  <c:v>-0.73270000000000002</c:v>
                </c:pt>
                <c:pt idx="82">
                  <c:v>-0.73270000000000002</c:v>
                </c:pt>
                <c:pt idx="83">
                  <c:v>-0.73270000000000002</c:v>
                </c:pt>
                <c:pt idx="84">
                  <c:v>-0.73270000000000002</c:v>
                </c:pt>
                <c:pt idx="85">
                  <c:v>-0.73270000000000002</c:v>
                </c:pt>
                <c:pt idx="86">
                  <c:v>-0.73270000000000002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0F-4FDA-B0AD-46D685974EEB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TwoParticleH1C0!$G$3:$G$88</c:f>
              <c:numCache>
                <c:formatCode>General</c:formatCode>
                <c:ptCount val="8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0.99987903</c:v>
                </c:pt>
                <c:pt idx="19">
                  <c:v>0.99879560000000001</c:v>
                </c:pt>
                <c:pt idx="20">
                  <c:v>0.99631882000000005</c:v>
                </c:pt>
                <c:pt idx="21">
                  <c:v>0.99221687000000003</c:v>
                </c:pt>
                <c:pt idx="22">
                  <c:v>0.98638703999999999</c:v>
                </c:pt>
                <c:pt idx="23">
                  <c:v>0.97883876999999997</c:v>
                </c:pt>
                <c:pt idx="24">
                  <c:v>0.96968798</c:v>
                </c:pt>
                <c:pt idx="25">
                  <c:v>0.95915340000000004</c:v>
                </c:pt>
                <c:pt idx="26">
                  <c:v>0.94755106</c:v>
                </c:pt>
                <c:pt idx="27">
                  <c:v>0.93528489999999997</c:v>
                </c:pt>
                <c:pt idx="28">
                  <c:v>0.92283168000000004</c:v>
                </c:pt>
                <c:pt idx="29">
                  <c:v>0.91071928000000002</c:v>
                </c:pt>
                <c:pt idx="30">
                  <c:v>0.89949802999999995</c:v>
                </c:pt>
                <c:pt idx="31">
                  <c:v>0.88970568000000005</c:v>
                </c:pt>
                <c:pt idx="32">
                  <c:v>0.88182826000000003</c:v>
                </c:pt>
                <c:pt idx="33">
                  <c:v>0.8762605</c:v>
                </c:pt>
                <c:pt idx="34">
                  <c:v>0.87327076000000003</c:v>
                </c:pt>
                <c:pt idx="35">
                  <c:v>0.87297579000000003</c:v>
                </c:pt>
                <c:pt idx="36">
                  <c:v>0.87532975999999996</c:v>
                </c:pt>
                <c:pt idx="37">
                  <c:v>0.88012941</c:v>
                </c:pt>
                <c:pt idx="38">
                  <c:v>0.88703463000000005</c:v>
                </c:pt>
                <c:pt idx="39">
                  <c:v>0.89560076</c:v>
                </c:pt>
                <c:pt idx="40">
                  <c:v>0.90531746000000002</c:v>
                </c:pt>
                <c:pt idx="41">
                  <c:v>0.91564891000000004</c:v>
                </c:pt>
                <c:pt idx="42">
                  <c:v>0.92607086999999999</c:v>
                </c:pt>
                <c:pt idx="43">
                  <c:v>0.93610190000000004</c:v>
                </c:pt>
                <c:pt idx="44">
                  <c:v>0.94532742000000003</c:v>
                </c:pt>
                <c:pt idx="45">
                  <c:v>0.95341666000000003</c:v>
                </c:pt>
                <c:pt idx="46">
                  <c:v>0.96013351000000002</c:v>
                </c:pt>
                <c:pt idx="47">
                  <c:v>0.96534266000000002</c:v>
                </c:pt>
                <c:pt idx="48">
                  <c:v>0.96901333999999995</c:v>
                </c:pt>
                <c:pt idx="49">
                  <c:v>0.97122443999999997</c:v>
                </c:pt>
                <c:pt idx="50">
                  <c:v>0.97217969999999998</c:v>
                </c:pt>
                <c:pt idx="51">
                  <c:v>0.97227423999999996</c:v>
                </c:pt>
                <c:pt idx="52">
                  <c:v>0.97227423999999996</c:v>
                </c:pt>
                <c:pt idx="53">
                  <c:v>0.97227423999999996</c:v>
                </c:pt>
                <c:pt idx="54">
                  <c:v>0.97227423999999996</c:v>
                </c:pt>
                <c:pt idx="55">
                  <c:v>0.97227423999999996</c:v>
                </c:pt>
                <c:pt idx="56">
                  <c:v>0.97227423999999996</c:v>
                </c:pt>
                <c:pt idx="57">
                  <c:v>0.97227423999999996</c:v>
                </c:pt>
                <c:pt idx="58">
                  <c:v>0.97227423999999996</c:v>
                </c:pt>
                <c:pt idx="59">
                  <c:v>0.97227423999999996</c:v>
                </c:pt>
                <c:pt idx="60">
                  <c:v>0.97227423999999996</c:v>
                </c:pt>
                <c:pt idx="61">
                  <c:v>0.97227423999999996</c:v>
                </c:pt>
                <c:pt idx="62">
                  <c:v>0.97227423999999996</c:v>
                </c:pt>
                <c:pt idx="63">
                  <c:v>0.97227423999999996</c:v>
                </c:pt>
                <c:pt idx="64">
                  <c:v>0.97227423999999996</c:v>
                </c:pt>
                <c:pt idx="65">
                  <c:v>0.97227423999999996</c:v>
                </c:pt>
                <c:pt idx="66">
                  <c:v>0.97227423999999996</c:v>
                </c:pt>
                <c:pt idx="67">
                  <c:v>0.97227423999999996</c:v>
                </c:pt>
                <c:pt idx="68">
                  <c:v>0.97227423999999996</c:v>
                </c:pt>
                <c:pt idx="69">
                  <c:v>0.97227423999999996</c:v>
                </c:pt>
                <c:pt idx="70">
                  <c:v>0.97227423999999996</c:v>
                </c:pt>
                <c:pt idx="71">
                  <c:v>0.97227423999999996</c:v>
                </c:pt>
                <c:pt idx="72">
                  <c:v>0.97227423999999996</c:v>
                </c:pt>
                <c:pt idx="73">
                  <c:v>0.97227423999999996</c:v>
                </c:pt>
                <c:pt idx="74">
                  <c:v>0.97227423999999996</c:v>
                </c:pt>
                <c:pt idx="75">
                  <c:v>0.97227423999999996</c:v>
                </c:pt>
                <c:pt idx="76">
                  <c:v>0.97227423999999996</c:v>
                </c:pt>
                <c:pt idx="77">
                  <c:v>0.97227423999999996</c:v>
                </c:pt>
                <c:pt idx="78">
                  <c:v>0.97227423999999996</c:v>
                </c:pt>
                <c:pt idx="79">
                  <c:v>0.97227423999999996</c:v>
                </c:pt>
                <c:pt idx="80">
                  <c:v>0.97227423999999996</c:v>
                </c:pt>
                <c:pt idx="81">
                  <c:v>0.97227423999999996</c:v>
                </c:pt>
                <c:pt idx="82">
                  <c:v>0.97227423999999996</c:v>
                </c:pt>
                <c:pt idx="83">
                  <c:v>0.97227423999999996</c:v>
                </c:pt>
                <c:pt idx="84">
                  <c:v>0.97227423999999996</c:v>
                </c:pt>
                <c:pt idx="85">
                  <c:v>0.97227423999999996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C0F-4FDA-B0AD-46D685974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87247"/>
        <c:axId val="55183887"/>
      </c:scatterChart>
      <c:valAx>
        <c:axId val="5518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83887"/>
        <c:crosses val="autoZero"/>
        <c:crossBetween val="midCat"/>
      </c:valAx>
      <c:valAx>
        <c:axId val="55183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87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TwoParticleH0C0!$I$2:$I$88</c:f>
              <c:numCache>
                <c:formatCode>0.00000000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2.0000000000000001E-4</c:v>
                </c:pt>
                <c:pt idx="19">
                  <c:v>2.0999999999999999E-3</c:v>
                </c:pt>
                <c:pt idx="20">
                  <c:v>6.4000000000000003E-3</c:v>
                </c:pt>
                <c:pt idx="21">
                  <c:v>1.37E-2</c:v>
                </c:pt>
                <c:pt idx="22">
                  <c:v>2.4400000000000002E-2</c:v>
                </c:pt>
                <c:pt idx="23">
                  <c:v>3.8699999999999998E-2</c:v>
                </c:pt>
                <c:pt idx="24">
                  <c:v>5.6800000000000003E-2</c:v>
                </c:pt>
                <c:pt idx="25">
                  <c:v>7.8700000000000006E-2</c:v>
                </c:pt>
                <c:pt idx="26">
                  <c:v>0.1043</c:v>
                </c:pt>
                <c:pt idx="27">
                  <c:v>0.13350000000000001</c:v>
                </c:pt>
                <c:pt idx="28">
                  <c:v>0.1661</c:v>
                </c:pt>
                <c:pt idx="29">
                  <c:v>0.20169999999999999</c:v>
                </c:pt>
                <c:pt idx="30">
                  <c:v>0.24</c:v>
                </c:pt>
                <c:pt idx="31">
                  <c:v>0.28050000000000003</c:v>
                </c:pt>
                <c:pt idx="32">
                  <c:v>0.32279999999999998</c:v>
                </c:pt>
                <c:pt idx="33">
                  <c:v>0.36609999999999998</c:v>
                </c:pt>
                <c:pt idx="34">
                  <c:v>0.41010000000000002</c:v>
                </c:pt>
                <c:pt idx="35">
                  <c:v>0.36609999999999998</c:v>
                </c:pt>
                <c:pt idx="36">
                  <c:v>0.32279999999999998</c:v>
                </c:pt>
                <c:pt idx="37">
                  <c:v>0.28060000000000002</c:v>
                </c:pt>
                <c:pt idx="38">
                  <c:v>0.2402</c:v>
                </c:pt>
                <c:pt idx="39">
                  <c:v>0.20200000000000001</c:v>
                </c:pt>
                <c:pt idx="40">
                  <c:v>0.16639999999999999</c:v>
                </c:pt>
                <c:pt idx="41">
                  <c:v>0.13389999999999999</c:v>
                </c:pt>
                <c:pt idx="42">
                  <c:v>0.1048</c:v>
                </c:pt>
                <c:pt idx="43">
                  <c:v>7.9299999999999995E-2</c:v>
                </c:pt>
                <c:pt idx="44">
                  <c:v>5.7500000000000002E-2</c:v>
                </c:pt>
                <c:pt idx="45">
                  <c:v>3.9600000000000003E-2</c:v>
                </c:pt>
                <c:pt idx="46">
                  <c:v>2.5399999999999999E-2</c:v>
                </c:pt>
                <c:pt idx="47">
                  <c:v>1.4800000000000001E-2</c:v>
                </c:pt>
                <c:pt idx="48">
                  <c:v>7.4999999999999997E-3</c:v>
                </c:pt>
                <c:pt idx="49">
                  <c:v>3.3E-3</c:v>
                </c:pt>
                <c:pt idx="50">
                  <c:v>1.5E-3</c:v>
                </c:pt>
                <c:pt idx="51">
                  <c:v>1.2999999999999999E-3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4E-4100-AE0D-98D1631C59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520175"/>
        <c:axId val="136957183"/>
      </c:scatterChart>
      <c:valAx>
        <c:axId val="1345201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57183"/>
        <c:crosses val="autoZero"/>
        <c:crossBetween val="midCat"/>
      </c:valAx>
      <c:valAx>
        <c:axId val="136957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5201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466725</xdr:colOff>
      <xdr:row>6</xdr:row>
      <xdr:rowOff>104775</xdr:rowOff>
    </xdr:from>
    <xdr:to>
      <xdr:col>16</xdr:col>
      <xdr:colOff>161925</xdr:colOff>
      <xdr:row>20</xdr:row>
      <xdr:rowOff>180975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1D0140B-7226-4721-8277-AA2265BFFD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152400</xdr:colOff>
      <xdr:row>6</xdr:row>
      <xdr:rowOff>104775</xdr:rowOff>
    </xdr:from>
    <xdr:to>
      <xdr:col>23</xdr:col>
      <xdr:colOff>457200</xdr:colOff>
      <xdr:row>20</xdr:row>
      <xdr:rowOff>180975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68741D0-8BC3-4139-8C9E-364F672BF4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5</xdr:row>
      <xdr:rowOff>0</xdr:rowOff>
    </xdr:from>
    <xdr:to>
      <xdr:col>22</xdr:col>
      <xdr:colOff>76200</xdr:colOff>
      <xdr:row>38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2D93B7-70C2-43E6-B52C-D438A33337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67668B0-6731-43C9-A9F1-0BBFC0BFFE8F}" autoFormatId="16" applyNumberFormats="0" applyBorderFormats="0" applyFontFormats="0" applyPatternFormats="0" applyAlignmentFormats="0" applyWidthHeightFormats="0">
  <queryTableRefresh nextId="23">
    <queryTableFields count="22">
      <queryTableField id="1" name="P" tableColumnId="1"/>
      <queryTableField id="2" name="t" tableColumnId="2"/>
      <queryTableField id="3" name="iter" tableColumnId="3"/>
      <queryTableField id="4" name="vx" tableColumnId="4"/>
      <queryTableField id="5" name="vy" tableColumnId="5"/>
      <queryTableField id="6" name="pen_factor" tableColumnId="6"/>
      <queryTableField id="7" name="v_mag" tableColumnId="7"/>
      <queryTableField id="8" name="vel_mag_in" tableColumnId="8"/>
      <queryTableField id="9" name="v_coll" tableColumnId="9"/>
      <queryTableField id="10" name="v_ang" tableColumnId="10"/>
      <queryTableField id="11" name="imomx" tableColumnId="11"/>
      <queryTableField id="12" name="imomy" tableColumnId="12"/>
      <queryTableField id="13" name="imom" tableColumnId="13"/>
      <queryTableField id="14" name="tot_area" tableColumnId="14"/>
      <queryTableField id="15" name="cur_area" tableColumnId="15"/>
      <queryTableField id="16" name="area_diff" tableColumnId="16"/>
      <queryTableField id="17" name="vx_rel" tableColumnId="17"/>
      <queryTableField id="18" name="vy_rel" tableColumnId="18"/>
      <queryTableField id="19" name="v_rel" tableColumnId="19"/>
      <queryTableField id="20" name="col_acc_x" tableColumnId="20"/>
      <queryTableField id="21" name="col_acc_y" tableColumnId="21"/>
      <queryTableField id="22" name="col_acc_mag" tableColumnId="2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6CB41982-9163-4307-A317-66B10B3AF0D5}" autoFormatId="16" applyNumberFormats="0" applyBorderFormats="0" applyFontFormats="0" applyPatternFormats="0" applyAlignmentFormats="0" applyWidthHeightFormats="0">
  <queryTableRefresh nextId="23">
    <queryTableFields count="22">
      <queryTableField id="1" name="P" tableColumnId="1"/>
      <queryTableField id="2" name="t" tableColumnId="2"/>
      <queryTableField id="3" name="iter" tableColumnId="3"/>
      <queryTableField id="4" name="vx" tableColumnId="4"/>
      <queryTableField id="5" name="vy" tableColumnId="5"/>
      <queryTableField id="6" name="pen_factor" tableColumnId="6"/>
      <queryTableField id="7" name="v_mag" tableColumnId="7"/>
      <queryTableField id="8" name="vel_mag_in" tableColumnId="8"/>
      <queryTableField id="9" name="v_coll" tableColumnId="9"/>
      <queryTableField id="10" name="v_ang" tableColumnId="10"/>
      <queryTableField id="11" name="imomx" tableColumnId="11"/>
      <queryTableField id="12" name="imomy" tableColumnId="12"/>
      <queryTableField id="13" name="imom" tableColumnId="13"/>
      <queryTableField id="14" name="tot_area" tableColumnId="14"/>
      <queryTableField id="15" name="cur_area" tableColumnId="15"/>
      <queryTableField id="16" name="area_diff" tableColumnId="16"/>
      <queryTableField id="17" name="vx_rel" tableColumnId="17"/>
      <queryTableField id="18" name="vy_rel" tableColumnId="18"/>
      <queryTableField id="19" name="v_rel" tableColumnId="19"/>
      <queryTableField id="20" name="col_acc_x" tableColumnId="20"/>
      <queryTableField id="21" name="col_acc_y" tableColumnId="21"/>
      <queryTableField id="22" name="col_acc_mag" tableColumnId="2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6E151E-67C4-4717-8E1A-146721D2E80E}" name="TwoParticleOffset0C0_1" displayName="TwoParticleOffset0C0_1" ref="A1:V88" tableType="queryTable" totalsRowShown="0">
  <autoFilter ref="A1:V88" xr:uid="{AF6E151E-67C4-4717-8E1A-146721D2E80E}"/>
  <tableColumns count="22">
    <tableColumn id="1" xr3:uid="{067CF3FB-871F-4ADE-97F7-E034FB900921}" uniqueName="1" name="P" queryTableFieldId="1"/>
    <tableColumn id="2" xr3:uid="{3C09190A-A3FF-43D6-89C3-8C8E7DA3176C}" uniqueName="2" name="t" queryTableFieldId="2"/>
    <tableColumn id="3" xr3:uid="{F8CE901E-0748-4964-8084-DAE579DC7B1B}" uniqueName="3" name="iter" queryTableFieldId="3"/>
    <tableColumn id="4" xr3:uid="{902290F8-E4BE-4BEA-95C1-8DDF8E8837B4}" uniqueName="4" name="vx" queryTableFieldId="4"/>
    <tableColumn id="5" xr3:uid="{22A4FA44-B8C8-4E33-8F4A-42D4DD48266E}" uniqueName="5" name="vy" queryTableFieldId="5"/>
    <tableColumn id="6" xr3:uid="{50C97EC5-325E-4FA0-A86B-928C357EBFDA}" uniqueName="6" name="pen_factor" queryTableFieldId="6"/>
    <tableColumn id="7" xr3:uid="{63C66D9F-3D66-485C-B41B-0795E6C63AE2}" uniqueName="7" name="v_mag" queryTableFieldId="7"/>
    <tableColumn id="8" xr3:uid="{1301B93A-4043-4324-88BE-7078852ADD79}" uniqueName="8" name="vel_mag_in" queryTableFieldId="8"/>
    <tableColumn id="9" xr3:uid="{AD33CFE5-E0A5-400E-9EF5-60AA9014061E}" uniqueName="9" name="v_coll" queryTableFieldId="9" dataDxfId="2"/>
    <tableColumn id="10" xr3:uid="{60D02051-A600-416C-B886-A9A23239F67C}" uniqueName="10" name="v_ang" queryTableFieldId="10"/>
    <tableColumn id="11" xr3:uid="{F19E2052-F361-4E4D-8CBF-7F27E27C7127}" uniqueName="11" name="imomx" queryTableFieldId="11"/>
    <tableColumn id="12" xr3:uid="{246883B9-787A-4024-8B82-A31B17649A9C}" uniqueName="12" name="imomy" queryTableFieldId="12"/>
    <tableColumn id="13" xr3:uid="{A721A8A7-F6E5-43D9-8D2F-11E721BAC73F}" uniqueName="13" name="imom" queryTableFieldId="13"/>
    <tableColumn id="14" xr3:uid="{EE975420-B56C-4737-926F-5EE830391577}" uniqueName="14" name="tot_area" queryTableFieldId="14"/>
    <tableColumn id="15" xr3:uid="{5E109146-D1E5-4374-A40E-86F6E9726F77}" uniqueName="15" name="cur_area" queryTableFieldId="15"/>
    <tableColumn id="16" xr3:uid="{05052D5B-26AD-4D86-AC5C-49B2FEFF2A6B}" uniqueName="16" name="area_diff" queryTableFieldId="16"/>
    <tableColumn id="17" xr3:uid="{CAD561BE-9C5B-4D83-9373-859CD6D346ED}" uniqueName="17" name="vx_rel" queryTableFieldId="17" dataDxfId="1"/>
    <tableColumn id="18" xr3:uid="{0F3D42D4-8E7C-487E-94EA-037396839BD6}" uniqueName="18" name="vy_rel" queryTableFieldId="18"/>
    <tableColumn id="19" xr3:uid="{AB02CDF6-D8BE-44CF-9819-158025A39822}" uniqueName="19" name="v_rel" queryTableFieldId="19"/>
    <tableColumn id="20" xr3:uid="{61665E02-F7EA-43AF-B77D-499A96DD577F}" uniqueName="20" name="col_acc_x" queryTableFieldId="20"/>
    <tableColumn id="21" xr3:uid="{311F615A-2758-42B5-A6EA-8509DEB75A85}" uniqueName="21" name="col_acc_y" queryTableFieldId="21"/>
    <tableColumn id="22" xr3:uid="{646E2505-261C-47F1-AB63-C3EE1C6D436B}" uniqueName="22" name="col_acc_mag" queryTableFieldId="2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CBCF59-4BDE-4334-833E-F6E01A2A211B}" name="TwoParticleOffset1C0" displayName="TwoParticleOffset1C0" ref="A1:V88" tableType="queryTable" totalsRowShown="0">
  <autoFilter ref="A1:V88" xr:uid="{7ECBCF59-4BDE-4334-833E-F6E01A2A211B}"/>
  <tableColumns count="22">
    <tableColumn id="1" xr3:uid="{3E534D57-001C-44B3-96BB-ACE33DDA8B0C}" uniqueName="1" name="P" queryTableFieldId="1"/>
    <tableColumn id="2" xr3:uid="{8EC49207-BB5B-4553-8242-52E38D106079}" uniqueName="2" name="t" queryTableFieldId="2"/>
    <tableColumn id="3" xr3:uid="{73A26A5F-59F5-4522-B6E5-343E981834C2}" uniqueName="3" name="iter" queryTableFieldId="3"/>
    <tableColumn id="4" xr3:uid="{5200DEBC-ECDC-41B3-B08A-A400B233F15B}" uniqueName="4" name="vx" queryTableFieldId="4"/>
    <tableColumn id="5" xr3:uid="{AEEA8660-8AD3-4A1D-AA87-24CDCCF34586}" uniqueName="5" name="vy" queryTableFieldId="5"/>
    <tableColumn id="6" xr3:uid="{1D9841D4-FAD1-40EE-98E7-76577D794F54}" uniqueName="6" name="pen_factor" queryTableFieldId="6"/>
    <tableColumn id="7" xr3:uid="{CCAF81BB-4CBB-468D-A172-F31CDD27AB17}" uniqueName="7" name="v_mag" queryTableFieldId="7"/>
    <tableColumn id="8" xr3:uid="{D72C5412-651E-44B7-B2C6-33C271319281}" uniqueName="8" name="vel_mag_in" queryTableFieldId="8"/>
    <tableColumn id="9" xr3:uid="{31E6ED92-ADDC-4FC4-B36C-7296CFE3BA84}" uniqueName="9" name="v_coll" queryTableFieldId="9" dataDxfId="0"/>
    <tableColumn id="10" xr3:uid="{CA41539D-6FDF-4E0E-802B-250D01599D7B}" uniqueName="10" name="v_ang" queryTableFieldId="10"/>
    <tableColumn id="11" xr3:uid="{BB91870A-B7E8-4385-B717-2A5BA32E022F}" uniqueName="11" name="imomx" queryTableFieldId="11"/>
    <tableColumn id="12" xr3:uid="{A044B860-A0B4-4879-99D1-DFA51705D8A7}" uniqueName="12" name="imomy" queryTableFieldId="12"/>
    <tableColumn id="13" xr3:uid="{2FBC81E4-C264-4DF2-9ED9-4ABE80A01216}" uniqueName="13" name="imom" queryTableFieldId="13"/>
    <tableColumn id="14" xr3:uid="{9C732F42-46ED-4494-AA84-5E0E33DE809A}" uniqueName="14" name="tot_area" queryTableFieldId="14"/>
    <tableColumn id="15" xr3:uid="{B13A5038-EF56-47CF-B6B6-7176C4C2CE58}" uniqueName="15" name="cur_area" queryTableFieldId="15"/>
    <tableColumn id="16" xr3:uid="{4CAAC157-E353-4B86-8B9E-F5960AE3AD3E}" uniqueName="16" name="area_diff" queryTableFieldId="16"/>
    <tableColumn id="17" xr3:uid="{E0785BA1-0F18-40FE-8849-C73278028988}" uniqueName="17" name="vx_rel" queryTableFieldId="17"/>
    <tableColumn id="18" xr3:uid="{EE783E0C-FD72-4E44-901B-C70A0F51F196}" uniqueName="18" name="vy_rel" queryTableFieldId="18"/>
    <tableColumn id="19" xr3:uid="{0C213B26-3F6D-4E74-AD3B-603B38725268}" uniqueName="19" name="v_rel" queryTableFieldId="19"/>
    <tableColumn id="20" xr3:uid="{DB79263A-1650-4FA2-AF4B-9C034C31AF41}" uniqueName="20" name="col_acc_x" queryTableFieldId="20"/>
    <tableColumn id="21" xr3:uid="{6967D10E-B8DE-422E-A099-E332A2BE732E}" uniqueName="21" name="col_acc_y" queryTableFieldId="21"/>
    <tableColumn id="22" xr3:uid="{0E930A11-11AD-43B0-82A0-3854F40699F6}" uniqueName="22" name="col_acc_mag" queryTableFieldId="2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2FC50-CD0A-44E8-A11A-5579EA7E8523}">
  <dimension ref="A1:I25"/>
  <sheetViews>
    <sheetView tabSelected="1" zoomScale="145" zoomScaleNormal="145" workbookViewId="0">
      <selection activeCell="D13" sqref="D13"/>
    </sheetView>
  </sheetViews>
  <sheetFormatPr defaultRowHeight="15" x14ac:dyDescent="0.25"/>
  <cols>
    <col min="1" max="1" width="23.5703125" customWidth="1"/>
    <col min="2" max="2" width="16.85546875" style="3" customWidth="1"/>
    <col min="3" max="3" width="14.140625" customWidth="1"/>
    <col min="4" max="4" width="15" customWidth="1"/>
    <col min="5" max="5" width="11.7109375" style="2" bestFit="1" customWidth="1"/>
    <col min="6" max="6" width="22.140625" customWidth="1"/>
  </cols>
  <sheetData>
    <row r="1" spans="1:9" x14ac:dyDescent="0.25">
      <c r="A1" s="4" t="s">
        <v>22</v>
      </c>
      <c r="B1" s="5" t="s">
        <v>19</v>
      </c>
      <c r="C1" s="4" t="s">
        <v>20</v>
      </c>
      <c r="D1" s="4" t="s">
        <v>21</v>
      </c>
      <c r="E1" s="6"/>
      <c r="G1" t="s">
        <v>25</v>
      </c>
      <c r="H1" s="1">
        <v>0.25</v>
      </c>
      <c r="I1" s="1"/>
    </row>
    <row r="2" spans="1:9" x14ac:dyDescent="0.25">
      <c r="A2" s="4" t="s">
        <v>28</v>
      </c>
      <c r="B2" s="6">
        <f>TwoParticleH0C0!G3</f>
        <v>0.95131487999999997</v>
      </c>
      <c r="C2" s="6">
        <f>TwoParticleH1C0!G20</f>
        <v>1</v>
      </c>
      <c r="D2" s="6">
        <f>SUM(B2:C2)</f>
        <v>1.95131488</v>
      </c>
      <c r="E2" s="6"/>
      <c r="G2" t="s">
        <v>26</v>
      </c>
      <c r="H2" s="1">
        <f>PI()*H1^2*10</f>
        <v>1.9634954084936207</v>
      </c>
      <c r="I2" s="1"/>
    </row>
    <row r="3" spans="1:9" x14ac:dyDescent="0.25">
      <c r="A3" s="4" t="s">
        <v>29</v>
      </c>
      <c r="B3" s="6">
        <f>TwoParticleH0C0!G54</f>
        <v>0.97962802000000004</v>
      </c>
      <c r="C3" s="6">
        <f>TwoParticleH1C0!G54</f>
        <v>0.97227423999999996</v>
      </c>
      <c r="D3" s="6">
        <f>SUM(B3:C3)</f>
        <v>1.95190226</v>
      </c>
      <c r="E3" s="6"/>
    </row>
    <row r="4" spans="1:9" x14ac:dyDescent="0.25">
      <c r="A4" s="7" t="s">
        <v>32</v>
      </c>
      <c r="B4" s="8">
        <f>B2-B3</f>
        <v>-2.831314000000007E-2</v>
      </c>
      <c r="C4" s="8">
        <f>C2-C3</f>
        <v>2.7725760000000044E-2</v>
      </c>
      <c r="D4" s="8">
        <f>D2-D3</f>
        <v>-5.8738000000002621E-4</v>
      </c>
      <c r="E4" s="6">
        <f>B4+C4</f>
        <v>-5.8738000000002621E-4</v>
      </c>
    </row>
    <row r="5" spans="1:9" x14ac:dyDescent="0.25">
      <c r="A5" s="4" t="s">
        <v>30</v>
      </c>
      <c r="B5" s="6">
        <f>TwoParticleH0C0!S21</f>
        <v>1.9506409199999999</v>
      </c>
      <c r="C5" s="6">
        <f>TwoParticleH1C0!S20</f>
        <v>1.9506409199999999</v>
      </c>
      <c r="D5" s="6"/>
      <c r="E5" s="6"/>
    </row>
    <row r="6" spans="1:9" x14ac:dyDescent="0.25">
      <c r="A6" s="4" t="s">
        <v>33</v>
      </c>
      <c r="B6" s="6">
        <f>B5/H2</f>
        <v>0.99345326276903156</v>
      </c>
      <c r="C6" s="6">
        <f>C5/H2</f>
        <v>0.99345326276903156</v>
      </c>
      <c r="D6" s="6"/>
      <c r="E6" s="6"/>
    </row>
    <row r="7" spans="1:9" x14ac:dyDescent="0.25">
      <c r="A7" s="4"/>
      <c r="B7" s="6"/>
      <c r="C7" s="6"/>
      <c r="D7" s="6"/>
      <c r="E7" s="6"/>
    </row>
    <row r="8" spans="1:9" x14ac:dyDescent="0.25">
      <c r="A8" s="4"/>
      <c r="B8" s="6"/>
      <c r="C8" s="6"/>
      <c r="D8" s="6"/>
      <c r="E8" s="6"/>
      <c r="F8" s="2"/>
    </row>
    <row r="9" spans="1:9" x14ac:dyDescent="0.25">
      <c r="A9" s="4"/>
      <c r="B9" s="6"/>
      <c r="C9" s="6"/>
      <c r="D9" s="6"/>
      <c r="E9" s="6"/>
    </row>
    <row r="10" spans="1:9" x14ac:dyDescent="0.25">
      <c r="A10" s="4"/>
      <c r="B10" s="6"/>
      <c r="C10" s="6"/>
      <c r="D10" s="6"/>
      <c r="E10" s="6"/>
    </row>
    <row r="11" spans="1:9" x14ac:dyDescent="0.25">
      <c r="A11" s="4" t="s">
        <v>34</v>
      </c>
      <c r="B11" s="6">
        <f>TwoParticleH0C0!I53</f>
        <v>1.2999999999999999E-3</v>
      </c>
      <c r="C11" s="6">
        <f>TwoParticleH1C0!I53</f>
        <v>1.2999999999999999E-3</v>
      </c>
      <c r="D11" s="6"/>
      <c r="E11" s="6"/>
    </row>
    <row r="12" spans="1:9" x14ac:dyDescent="0.25">
      <c r="A12" s="4"/>
      <c r="B12" s="6">
        <f>B11*B5</f>
        <v>2.5358331959999996E-3</v>
      </c>
      <c r="C12" s="6">
        <f>C11*C5</f>
        <v>2.5358331959999996E-3</v>
      </c>
      <c r="D12" s="6">
        <f>B12+C12</f>
        <v>5.0716663919999991E-3</v>
      </c>
      <c r="E12" s="6"/>
    </row>
    <row r="13" spans="1:9" x14ac:dyDescent="0.25">
      <c r="B13" s="2"/>
      <c r="C13" s="2"/>
      <c r="D13" s="2"/>
    </row>
    <row r="14" spans="1:9" x14ac:dyDescent="0.25">
      <c r="B14" s="2"/>
      <c r="C14" s="2"/>
      <c r="D14" s="2"/>
    </row>
    <row r="15" spans="1:9" x14ac:dyDescent="0.25">
      <c r="B15" s="2"/>
      <c r="C15" s="2"/>
      <c r="D15" s="2"/>
    </row>
    <row r="16" spans="1:9" x14ac:dyDescent="0.25">
      <c r="C16" s="1"/>
      <c r="D16" s="1"/>
    </row>
    <row r="17" spans="3:4" x14ac:dyDescent="0.25">
      <c r="C17" s="1"/>
      <c r="D17" s="1"/>
    </row>
    <row r="18" spans="3:4" x14ac:dyDescent="0.25">
      <c r="C18" s="1"/>
      <c r="D18" s="1"/>
    </row>
    <row r="19" spans="3:4" x14ac:dyDescent="0.25">
      <c r="C19" s="1"/>
      <c r="D19" s="1"/>
    </row>
    <row r="20" spans="3:4" x14ac:dyDescent="0.25">
      <c r="C20" s="1"/>
      <c r="D20" s="1"/>
    </row>
    <row r="21" spans="3:4" x14ac:dyDescent="0.25">
      <c r="C21" s="1"/>
      <c r="D21" s="1"/>
    </row>
    <row r="22" spans="3:4" x14ac:dyDescent="0.25">
      <c r="C22" s="1"/>
      <c r="D22" s="1"/>
    </row>
    <row r="23" spans="3:4" x14ac:dyDescent="0.25">
      <c r="C23" s="1"/>
      <c r="D23" s="1"/>
    </row>
    <row r="24" spans="3:4" x14ac:dyDescent="0.25">
      <c r="C24" s="1"/>
      <c r="D24" s="1"/>
    </row>
    <row r="25" spans="3:4" x14ac:dyDescent="0.25">
      <c r="C25" s="1"/>
      <c r="D25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11BAA-9A7A-4B63-97FA-2F38D83F449A}">
  <dimension ref="B1"/>
  <sheetViews>
    <sheetView topLeftCell="B8" workbookViewId="0">
      <selection activeCell="C6" sqref="C6"/>
    </sheetView>
  </sheetViews>
  <sheetFormatPr defaultRowHeight="15" x14ac:dyDescent="0.25"/>
  <sheetData>
    <row r="1" spans="2:2" x14ac:dyDescent="0.25">
      <c r="B1" t="s">
        <v>31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BF385-1B71-44A5-8B25-85F3F74E26D2}">
  <dimension ref="A1:V88"/>
  <sheetViews>
    <sheetView zoomScale="115" zoomScaleNormal="115" workbookViewId="0">
      <selection activeCell="S20" sqref="S20"/>
    </sheetView>
  </sheetViews>
  <sheetFormatPr defaultRowHeight="15" x14ac:dyDescent="0.25"/>
  <cols>
    <col min="1" max="1" width="4.42578125" bestFit="1" customWidth="1"/>
    <col min="2" max="2" width="6.5703125" bestFit="1" customWidth="1"/>
    <col min="3" max="3" width="6.42578125" bestFit="1" customWidth="1"/>
    <col min="4" max="5" width="7.5703125" bestFit="1" customWidth="1"/>
    <col min="6" max="6" width="12.85546875" bestFit="1" customWidth="1"/>
    <col min="7" max="7" width="12" bestFit="1" customWidth="1"/>
    <col min="8" max="8" width="13.140625" bestFit="1" customWidth="1"/>
    <col min="9" max="9" width="11.42578125" bestFit="1" customWidth="1"/>
    <col min="10" max="10" width="8.28515625" bestFit="1" customWidth="1"/>
    <col min="11" max="12" width="9.42578125" bestFit="1" customWidth="1"/>
    <col min="13" max="13" width="8.42578125" bestFit="1" customWidth="1"/>
    <col min="14" max="15" width="12" bestFit="1" customWidth="1"/>
    <col min="16" max="16" width="12.7109375" bestFit="1" customWidth="1"/>
    <col min="17" max="17" width="11.42578125" style="2" bestFit="1" customWidth="1"/>
    <col min="18" max="18" width="8.5703125" bestFit="1" customWidth="1"/>
    <col min="19" max="19" width="12" bestFit="1" customWidth="1"/>
    <col min="20" max="20" width="12.7109375" bestFit="1" customWidth="1"/>
    <col min="21" max="21" width="12" bestFit="1" customWidth="1"/>
    <col min="22" max="22" width="14.42578125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24</v>
      </c>
      <c r="J1" t="s">
        <v>18</v>
      </c>
      <c r="K1" t="s">
        <v>9</v>
      </c>
      <c r="L1" t="s">
        <v>10</v>
      </c>
      <c r="M1" t="s">
        <v>8</v>
      </c>
      <c r="N1" t="s">
        <v>27</v>
      </c>
      <c r="O1" t="s">
        <v>11</v>
      </c>
      <c r="P1" t="s">
        <v>12</v>
      </c>
      <c r="Q1" s="2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23</v>
      </c>
    </row>
    <row r="2" spans="1:22" x14ac:dyDescent="0.25">
      <c r="A2">
        <v>0</v>
      </c>
      <c r="B2">
        <v>3.0000000000000001E-3</v>
      </c>
      <c r="C2">
        <v>1</v>
      </c>
      <c r="D2">
        <v>0.95</v>
      </c>
      <c r="E2">
        <v>0.05</v>
      </c>
      <c r="F2">
        <v>0</v>
      </c>
      <c r="G2">
        <v>0</v>
      </c>
      <c r="H2">
        <v>0</v>
      </c>
      <c r="I2" s="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 s="2">
        <v>0</v>
      </c>
      <c r="R2">
        <v>0</v>
      </c>
      <c r="S2">
        <v>0</v>
      </c>
      <c r="T2">
        <v>0</v>
      </c>
      <c r="U2">
        <v>0</v>
      </c>
      <c r="V2">
        <v>0</v>
      </c>
    </row>
    <row r="3" spans="1:22" x14ac:dyDescent="0.25">
      <c r="A3">
        <v>0</v>
      </c>
      <c r="B3">
        <v>6.0000000000000001E-3</v>
      </c>
      <c r="C3">
        <v>2</v>
      </c>
      <c r="D3">
        <v>0.95</v>
      </c>
      <c r="E3">
        <v>0.05</v>
      </c>
      <c r="F3">
        <v>0</v>
      </c>
      <c r="G3">
        <v>0.95131487999999997</v>
      </c>
      <c r="H3">
        <v>0</v>
      </c>
      <c r="I3" s="2">
        <v>0</v>
      </c>
      <c r="J3">
        <v>5.2600000000000001E-2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2">
        <v>0</v>
      </c>
      <c r="R3">
        <v>0</v>
      </c>
      <c r="S3">
        <v>0</v>
      </c>
      <c r="T3">
        <v>0</v>
      </c>
      <c r="U3">
        <v>0</v>
      </c>
      <c r="V3">
        <v>0</v>
      </c>
    </row>
    <row r="4" spans="1:22" x14ac:dyDescent="0.25">
      <c r="A4">
        <v>0</v>
      </c>
      <c r="B4">
        <v>8.9999999999999993E-3</v>
      </c>
      <c r="C4">
        <v>3</v>
      </c>
      <c r="D4">
        <v>0.95</v>
      </c>
      <c r="E4">
        <v>0.05</v>
      </c>
      <c r="F4">
        <v>0</v>
      </c>
      <c r="G4">
        <v>0.95131487999999997</v>
      </c>
      <c r="H4">
        <v>0</v>
      </c>
      <c r="I4" s="2">
        <v>0</v>
      </c>
      <c r="J4">
        <v>5.2600000000000001E-2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2">
        <v>0</v>
      </c>
      <c r="R4">
        <v>0</v>
      </c>
      <c r="S4">
        <v>0</v>
      </c>
      <c r="T4">
        <v>0</v>
      </c>
      <c r="U4">
        <v>0</v>
      </c>
      <c r="V4">
        <v>0</v>
      </c>
    </row>
    <row r="5" spans="1:22" x14ac:dyDescent="0.25">
      <c r="A5">
        <v>0</v>
      </c>
      <c r="B5">
        <v>1.2E-2</v>
      </c>
      <c r="C5">
        <v>4</v>
      </c>
      <c r="D5">
        <v>0.95</v>
      </c>
      <c r="E5">
        <v>0.05</v>
      </c>
      <c r="F5">
        <v>0</v>
      </c>
      <c r="G5">
        <v>0.95131487999999997</v>
      </c>
      <c r="H5">
        <v>0</v>
      </c>
      <c r="I5" s="2">
        <v>0</v>
      </c>
      <c r="J5">
        <v>5.2600000000000001E-2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2">
        <v>0</v>
      </c>
      <c r="R5">
        <v>0</v>
      </c>
      <c r="S5">
        <v>0</v>
      </c>
      <c r="T5">
        <v>0</v>
      </c>
      <c r="U5">
        <v>0</v>
      </c>
      <c r="V5">
        <v>0</v>
      </c>
    </row>
    <row r="6" spans="1:22" x14ac:dyDescent="0.25">
      <c r="A6">
        <v>0</v>
      </c>
      <c r="B6">
        <v>1.4999999999999999E-2</v>
      </c>
      <c r="C6">
        <v>5</v>
      </c>
      <c r="D6">
        <v>0.95</v>
      </c>
      <c r="E6">
        <v>0.05</v>
      </c>
      <c r="F6">
        <v>0</v>
      </c>
      <c r="G6">
        <v>0.95131487999999997</v>
      </c>
      <c r="H6">
        <v>0</v>
      </c>
      <c r="I6" s="2">
        <v>0</v>
      </c>
      <c r="J6">
        <v>5.2600000000000001E-2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 s="2">
        <v>0</v>
      </c>
      <c r="R6">
        <v>0</v>
      </c>
      <c r="S6">
        <v>0</v>
      </c>
      <c r="T6">
        <v>0</v>
      </c>
      <c r="U6">
        <v>0</v>
      </c>
      <c r="V6">
        <v>0</v>
      </c>
    </row>
    <row r="7" spans="1:22" x14ac:dyDescent="0.25">
      <c r="A7">
        <v>0</v>
      </c>
      <c r="B7">
        <v>1.7999999999999999E-2</v>
      </c>
      <c r="C7">
        <v>6</v>
      </c>
      <c r="D7">
        <v>0.95</v>
      </c>
      <c r="E7">
        <v>0.05</v>
      </c>
      <c r="F7">
        <v>0</v>
      </c>
      <c r="G7">
        <v>0.95131487999999997</v>
      </c>
      <c r="H7">
        <v>0</v>
      </c>
      <c r="I7" s="2">
        <v>0</v>
      </c>
      <c r="J7">
        <v>5.2600000000000001E-2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 s="2">
        <v>0</v>
      </c>
      <c r="R7">
        <v>0</v>
      </c>
      <c r="S7">
        <v>0</v>
      </c>
      <c r="T7">
        <v>0</v>
      </c>
      <c r="U7">
        <v>0</v>
      </c>
      <c r="V7">
        <v>0</v>
      </c>
    </row>
    <row r="8" spans="1:22" x14ac:dyDescent="0.25">
      <c r="A8">
        <v>0</v>
      </c>
      <c r="B8">
        <v>2.1000000000000001E-2</v>
      </c>
      <c r="C8">
        <v>7</v>
      </c>
      <c r="D8">
        <v>0.95</v>
      </c>
      <c r="E8">
        <v>0.05</v>
      </c>
      <c r="F8">
        <v>0</v>
      </c>
      <c r="G8">
        <v>0.95131487999999997</v>
      </c>
      <c r="H8">
        <v>0</v>
      </c>
      <c r="I8" s="2">
        <v>0</v>
      </c>
      <c r="J8">
        <v>5.2600000000000001E-2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 s="2">
        <v>0</v>
      </c>
      <c r="R8">
        <v>0</v>
      </c>
      <c r="S8">
        <v>0</v>
      </c>
      <c r="T8">
        <v>0</v>
      </c>
      <c r="U8">
        <v>0</v>
      </c>
      <c r="V8">
        <v>0</v>
      </c>
    </row>
    <row r="9" spans="1:22" x14ac:dyDescent="0.25">
      <c r="A9">
        <v>0</v>
      </c>
      <c r="B9">
        <v>2.4E-2</v>
      </c>
      <c r="C9">
        <v>8</v>
      </c>
      <c r="D9">
        <v>0.95</v>
      </c>
      <c r="E9">
        <v>0.05</v>
      </c>
      <c r="F9">
        <v>0</v>
      </c>
      <c r="G9">
        <v>0.95131487999999997</v>
      </c>
      <c r="H9">
        <v>0</v>
      </c>
      <c r="I9" s="2">
        <v>0</v>
      </c>
      <c r="J9">
        <v>5.2600000000000001E-2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 s="2">
        <v>0</v>
      </c>
      <c r="R9">
        <v>0</v>
      </c>
      <c r="S9">
        <v>0</v>
      </c>
      <c r="T9">
        <v>0</v>
      </c>
      <c r="U9">
        <v>0</v>
      </c>
      <c r="V9">
        <v>0</v>
      </c>
    </row>
    <row r="10" spans="1:22" x14ac:dyDescent="0.25">
      <c r="A10">
        <v>0</v>
      </c>
      <c r="B10">
        <v>2.7E-2</v>
      </c>
      <c r="C10">
        <v>9</v>
      </c>
      <c r="D10">
        <v>0.95</v>
      </c>
      <c r="E10">
        <v>0.05</v>
      </c>
      <c r="F10">
        <v>0</v>
      </c>
      <c r="G10">
        <v>0.95131487999999997</v>
      </c>
      <c r="H10">
        <v>0</v>
      </c>
      <c r="I10" s="2">
        <v>0</v>
      </c>
      <c r="J10">
        <v>5.2600000000000001E-2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 s="2">
        <v>0</v>
      </c>
      <c r="R10">
        <v>0</v>
      </c>
      <c r="S10">
        <v>0</v>
      </c>
      <c r="T10">
        <v>0</v>
      </c>
      <c r="U10">
        <v>0</v>
      </c>
      <c r="V10">
        <v>0</v>
      </c>
    </row>
    <row r="11" spans="1:22" x14ac:dyDescent="0.25">
      <c r="A11">
        <v>0</v>
      </c>
      <c r="B11">
        <v>0.03</v>
      </c>
      <c r="C11">
        <v>10</v>
      </c>
      <c r="D11">
        <v>0.95</v>
      </c>
      <c r="E11">
        <v>0.05</v>
      </c>
      <c r="F11">
        <v>0</v>
      </c>
      <c r="G11">
        <v>0.95131487999999997</v>
      </c>
      <c r="H11">
        <v>0</v>
      </c>
      <c r="I11" s="2">
        <v>0</v>
      </c>
      <c r="J11">
        <v>5.2600000000000001E-2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 s="2">
        <v>0</v>
      </c>
      <c r="R11">
        <v>0</v>
      </c>
      <c r="S11">
        <v>0</v>
      </c>
      <c r="T11">
        <v>0</v>
      </c>
      <c r="U11">
        <v>0</v>
      </c>
      <c r="V11">
        <v>0</v>
      </c>
    </row>
    <row r="12" spans="1:22" x14ac:dyDescent="0.25">
      <c r="A12">
        <v>0</v>
      </c>
      <c r="B12">
        <v>3.3000000000000002E-2</v>
      </c>
      <c r="C12">
        <v>11</v>
      </c>
      <c r="D12">
        <v>0.95</v>
      </c>
      <c r="E12">
        <v>0.05</v>
      </c>
      <c r="F12">
        <v>0</v>
      </c>
      <c r="G12">
        <v>0.95131487999999997</v>
      </c>
      <c r="H12">
        <v>0</v>
      </c>
      <c r="I12" s="2">
        <v>0</v>
      </c>
      <c r="J12">
        <v>5.2600000000000001E-2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 s="2">
        <v>0</v>
      </c>
      <c r="R12">
        <v>0</v>
      </c>
      <c r="S12">
        <v>0</v>
      </c>
      <c r="T12">
        <v>0</v>
      </c>
      <c r="U12">
        <v>0</v>
      </c>
      <c r="V12">
        <v>0</v>
      </c>
    </row>
    <row r="13" spans="1:22" x14ac:dyDescent="0.25">
      <c r="A13">
        <v>0</v>
      </c>
      <c r="B13">
        <v>3.5999999999999997E-2</v>
      </c>
      <c r="C13">
        <v>12</v>
      </c>
      <c r="D13">
        <v>0.95</v>
      </c>
      <c r="E13">
        <v>0.05</v>
      </c>
      <c r="F13">
        <v>0</v>
      </c>
      <c r="G13">
        <v>0.95131487999999997</v>
      </c>
      <c r="H13">
        <v>0</v>
      </c>
      <c r="I13" s="2">
        <v>0</v>
      </c>
      <c r="J13">
        <v>5.2600000000000001E-2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 s="2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>
        <v>0</v>
      </c>
      <c r="B14">
        <v>3.9E-2</v>
      </c>
      <c r="C14">
        <v>13</v>
      </c>
      <c r="D14">
        <v>0.95</v>
      </c>
      <c r="E14">
        <v>0.05</v>
      </c>
      <c r="F14">
        <v>0</v>
      </c>
      <c r="G14">
        <v>0.95131487999999997</v>
      </c>
      <c r="H14">
        <v>0</v>
      </c>
      <c r="I14" s="2">
        <v>0</v>
      </c>
      <c r="J14">
        <v>5.2600000000000001E-2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 s="2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>
        <v>0</v>
      </c>
      <c r="B15">
        <v>4.2000000000000003E-2</v>
      </c>
      <c r="C15">
        <v>14</v>
      </c>
      <c r="D15">
        <v>0.95</v>
      </c>
      <c r="E15">
        <v>0.05</v>
      </c>
      <c r="F15">
        <v>0</v>
      </c>
      <c r="G15">
        <v>0.95131487999999997</v>
      </c>
      <c r="H15">
        <v>0</v>
      </c>
      <c r="I15" s="2">
        <v>0</v>
      </c>
      <c r="J15">
        <v>5.2600000000000001E-2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 s="2">
        <v>0</v>
      </c>
      <c r="R15">
        <v>0</v>
      </c>
      <c r="S15">
        <v>0</v>
      </c>
      <c r="T15">
        <v>0</v>
      </c>
      <c r="U15">
        <v>0</v>
      </c>
      <c r="V15">
        <v>0</v>
      </c>
    </row>
    <row r="16" spans="1:22" x14ac:dyDescent="0.25">
      <c r="A16">
        <v>0</v>
      </c>
      <c r="B16">
        <v>4.4999999999999998E-2</v>
      </c>
      <c r="C16">
        <v>15</v>
      </c>
      <c r="D16">
        <v>0.95</v>
      </c>
      <c r="E16">
        <v>0.05</v>
      </c>
      <c r="F16">
        <v>0</v>
      </c>
      <c r="G16">
        <v>0.95131487999999997</v>
      </c>
      <c r="H16">
        <v>0</v>
      </c>
      <c r="I16" s="2">
        <v>0</v>
      </c>
      <c r="J16">
        <v>5.2600000000000001E-2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 s="2">
        <v>0</v>
      </c>
      <c r="R16">
        <v>0</v>
      </c>
      <c r="S16">
        <v>0</v>
      </c>
      <c r="T16">
        <v>0</v>
      </c>
      <c r="U16">
        <v>0</v>
      </c>
      <c r="V16">
        <v>0</v>
      </c>
    </row>
    <row r="17" spans="1:22" x14ac:dyDescent="0.25">
      <c r="A17">
        <v>0</v>
      </c>
      <c r="B17">
        <v>4.8000000000000001E-2</v>
      </c>
      <c r="C17">
        <v>16</v>
      </c>
      <c r="D17">
        <v>0.95</v>
      </c>
      <c r="E17">
        <v>0.05</v>
      </c>
      <c r="F17">
        <v>0</v>
      </c>
      <c r="G17">
        <v>0.95131487999999997</v>
      </c>
      <c r="H17">
        <v>0</v>
      </c>
      <c r="I17" s="2">
        <v>0</v>
      </c>
      <c r="J17">
        <v>5.2600000000000001E-2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 s="2">
        <v>0</v>
      </c>
      <c r="R17">
        <v>0</v>
      </c>
      <c r="S17">
        <v>0</v>
      </c>
      <c r="T17">
        <v>0</v>
      </c>
      <c r="U17">
        <v>0</v>
      </c>
      <c r="V17">
        <v>0</v>
      </c>
    </row>
    <row r="18" spans="1:22" x14ac:dyDescent="0.25">
      <c r="A18">
        <v>0</v>
      </c>
      <c r="B18">
        <v>5.0999999999999997E-2</v>
      </c>
      <c r="C18">
        <v>17</v>
      </c>
      <c r="D18">
        <v>0.95</v>
      </c>
      <c r="E18">
        <v>0.05</v>
      </c>
      <c r="F18">
        <v>0</v>
      </c>
      <c r="G18">
        <v>0.95131487999999997</v>
      </c>
      <c r="H18">
        <v>0</v>
      </c>
      <c r="I18" s="2">
        <v>0</v>
      </c>
      <c r="J18">
        <v>5.2600000000000001E-2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 s="2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>
        <v>0</v>
      </c>
      <c r="B19">
        <v>5.3999999999999999E-2</v>
      </c>
      <c r="C19">
        <v>18</v>
      </c>
      <c r="D19">
        <v>0.95</v>
      </c>
      <c r="E19">
        <v>0.05</v>
      </c>
      <c r="F19">
        <v>0</v>
      </c>
      <c r="G19">
        <v>0.95131487999999997</v>
      </c>
      <c r="H19">
        <v>0</v>
      </c>
      <c r="I19" s="2">
        <v>0</v>
      </c>
      <c r="J19">
        <v>5.2600000000000001E-2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 s="2">
        <v>0</v>
      </c>
      <c r="R19">
        <v>0</v>
      </c>
      <c r="S19">
        <v>0</v>
      </c>
      <c r="T19">
        <v>0</v>
      </c>
      <c r="U19">
        <v>0</v>
      </c>
      <c r="V19">
        <v>0</v>
      </c>
    </row>
    <row r="20" spans="1:22" x14ac:dyDescent="0.25">
      <c r="A20">
        <v>0</v>
      </c>
      <c r="B20">
        <v>5.7000000000000002E-2</v>
      </c>
      <c r="C20">
        <v>19</v>
      </c>
      <c r="D20">
        <v>0.95</v>
      </c>
      <c r="E20">
        <v>0.05</v>
      </c>
      <c r="F20">
        <v>1.0503E-4</v>
      </c>
      <c r="G20">
        <v>0.95131487999999997</v>
      </c>
      <c r="H20">
        <v>0.95131487999999997</v>
      </c>
      <c r="I20" s="2">
        <v>2.0000000000000001E-4</v>
      </c>
      <c r="J20">
        <v>5.2600000000000001E-2</v>
      </c>
      <c r="K20">
        <v>0</v>
      </c>
      <c r="L20">
        <v>0</v>
      </c>
      <c r="M20">
        <v>0</v>
      </c>
      <c r="N20">
        <v>2.0619999999999999E-5</v>
      </c>
      <c r="O20">
        <v>2.0619999999999999E-5</v>
      </c>
      <c r="P20">
        <v>2.0619999999999999E-5</v>
      </c>
      <c r="Q20" s="2">
        <v>1.95</v>
      </c>
      <c r="R20">
        <v>0.05</v>
      </c>
      <c r="S20">
        <v>1.9506409199999999</v>
      </c>
      <c r="T20">
        <v>-1.2099000000000001E-4</v>
      </c>
      <c r="U20">
        <v>1.6532999999999999E-4</v>
      </c>
      <c r="V20">
        <v>0</v>
      </c>
    </row>
    <row r="21" spans="1:22" x14ac:dyDescent="0.25">
      <c r="A21">
        <v>0</v>
      </c>
      <c r="B21">
        <v>0.06</v>
      </c>
      <c r="C21">
        <v>20</v>
      </c>
      <c r="D21">
        <v>0.94989999999999997</v>
      </c>
      <c r="E21">
        <v>5.0200000000000002E-2</v>
      </c>
      <c r="F21">
        <v>9.544E-4</v>
      </c>
      <c r="G21">
        <v>0.95120276000000004</v>
      </c>
      <c r="H21">
        <v>0.95131487999999997</v>
      </c>
      <c r="I21" s="2">
        <v>2.0999999999999999E-3</v>
      </c>
      <c r="J21">
        <v>5.28E-2</v>
      </c>
      <c r="K21">
        <v>0</v>
      </c>
      <c r="L21">
        <v>0</v>
      </c>
      <c r="M21">
        <v>0</v>
      </c>
      <c r="N21">
        <v>2.0802E-4</v>
      </c>
      <c r="O21">
        <v>1.874E-4</v>
      </c>
      <c r="P21">
        <v>1.6677E-4</v>
      </c>
      <c r="Q21" s="2">
        <v>1.95</v>
      </c>
      <c r="R21">
        <v>0.05</v>
      </c>
      <c r="S21">
        <v>1.9506409199999999</v>
      </c>
      <c r="T21">
        <v>-1.08482E-3</v>
      </c>
      <c r="U21">
        <v>1.51296E-3</v>
      </c>
      <c r="V21">
        <v>0</v>
      </c>
    </row>
    <row r="22" spans="1:22" x14ac:dyDescent="0.25">
      <c r="A22">
        <v>0</v>
      </c>
      <c r="B22">
        <v>6.3E-2</v>
      </c>
      <c r="C22">
        <v>21</v>
      </c>
      <c r="D22">
        <v>0.94879999999999998</v>
      </c>
      <c r="E22">
        <v>5.1700000000000003E-2</v>
      </c>
      <c r="F22">
        <v>2.2203800000000001E-3</v>
      </c>
      <c r="G22">
        <v>0.95020053999999998</v>
      </c>
      <c r="H22">
        <v>0.95131487999999997</v>
      </c>
      <c r="I22" s="2">
        <v>6.4000000000000003E-3</v>
      </c>
      <c r="J22">
        <v>5.4399999999999997E-2</v>
      </c>
      <c r="K22">
        <v>0</v>
      </c>
      <c r="L22">
        <v>0</v>
      </c>
      <c r="M22">
        <v>0</v>
      </c>
      <c r="N22">
        <v>6.4398999999999999E-4</v>
      </c>
      <c r="O22">
        <v>4.3596999999999999E-4</v>
      </c>
      <c r="P22">
        <v>2.4856999999999999E-4</v>
      </c>
      <c r="Q22" s="2">
        <v>1.95</v>
      </c>
      <c r="R22">
        <v>0.05</v>
      </c>
      <c r="S22">
        <v>1.9506409199999999</v>
      </c>
      <c r="T22">
        <v>-2.4890699999999999E-3</v>
      </c>
      <c r="U22">
        <v>3.5444999999999999E-3</v>
      </c>
      <c r="V22">
        <v>0</v>
      </c>
    </row>
    <row r="23" spans="1:22" x14ac:dyDescent="0.25">
      <c r="A23">
        <v>0</v>
      </c>
      <c r="B23">
        <v>6.6000000000000003E-2</v>
      </c>
      <c r="C23">
        <v>22</v>
      </c>
      <c r="D23">
        <v>0.94630000000000003</v>
      </c>
      <c r="E23">
        <v>5.5199999999999999E-2</v>
      </c>
      <c r="F23">
        <v>3.7574399999999999E-3</v>
      </c>
      <c r="G23">
        <v>0.94791504999999998</v>
      </c>
      <c r="H23">
        <v>0.95131487999999997</v>
      </c>
      <c r="I23" s="2">
        <v>1.37E-2</v>
      </c>
      <c r="J23">
        <v>5.8299999999999998E-2</v>
      </c>
      <c r="K23">
        <v>0</v>
      </c>
      <c r="L23">
        <v>0</v>
      </c>
      <c r="M23">
        <v>0</v>
      </c>
      <c r="N23">
        <v>1.3817600000000001E-3</v>
      </c>
      <c r="O23">
        <v>7.3777000000000001E-4</v>
      </c>
      <c r="P23">
        <v>3.0180000000000002E-4</v>
      </c>
      <c r="Q23" s="2">
        <v>1.95</v>
      </c>
      <c r="R23">
        <v>0.05</v>
      </c>
      <c r="S23">
        <v>1.9506409199999999</v>
      </c>
      <c r="T23">
        <v>-4.1521800000000001E-3</v>
      </c>
      <c r="U23">
        <v>6.0398500000000003E-3</v>
      </c>
      <c r="V23">
        <v>0</v>
      </c>
    </row>
    <row r="24" spans="1:22" x14ac:dyDescent="0.25">
      <c r="A24">
        <v>0</v>
      </c>
      <c r="B24">
        <v>6.9000000000000006E-2</v>
      </c>
      <c r="C24">
        <v>23</v>
      </c>
      <c r="D24">
        <v>0.94220000000000004</v>
      </c>
      <c r="E24">
        <v>6.13E-2</v>
      </c>
      <c r="F24">
        <v>5.4846000000000001E-3</v>
      </c>
      <c r="G24">
        <v>0.94414262000000004</v>
      </c>
      <c r="H24">
        <v>0.95131487999999997</v>
      </c>
      <c r="I24" s="2">
        <v>2.4400000000000002E-2</v>
      </c>
      <c r="J24">
        <v>6.4899999999999999E-2</v>
      </c>
      <c r="K24">
        <v>0</v>
      </c>
      <c r="L24">
        <v>0</v>
      </c>
      <c r="M24">
        <v>0</v>
      </c>
      <c r="N24">
        <v>2.4586600000000001E-3</v>
      </c>
      <c r="O24">
        <v>1.0769E-3</v>
      </c>
      <c r="P24">
        <v>3.3912999999999999E-4</v>
      </c>
      <c r="Q24" s="2">
        <v>1.95</v>
      </c>
      <c r="R24">
        <v>0.05</v>
      </c>
      <c r="S24">
        <v>1.9506409199999999</v>
      </c>
      <c r="T24">
        <v>-5.9715300000000001E-3</v>
      </c>
      <c r="U24">
        <v>8.8768500000000004E-3</v>
      </c>
      <c r="V24">
        <v>0</v>
      </c>
    </row>
    <row r="25" spans="1:22" x14ac:dyDescent="0.25">
      <c r="A25">
        <v>0</v>
      </c>
      <c r="B25">
        <v>7.1999999999999995E-2</v>
      </c>
      <c r="C25">
        <v>24</v>
      </c>
      <c r="D25">
        <v>0.93620000000000003</v>
      </c>
      <c r="E25">
        <v>7.0099999999999996E-2</v>
      </c>
      <c r="F25">
        <v>7.3392800000000001E-3</v>
      </c>
      <c r="G25">
        <v>0.93880520000000001</v>
      </c>
      <c r="H25">
        <v>0.95131487999999997</v>
      </c>
      <c r="I25" s="2">
        <v>3.8699999999999998E-2</v>
      </c>
      <c r="J25">
        <v>7.4800000000000005E-2</v>
      </c>
      <c r="K25">
        <v>0</v>
      </c>
      <c r="L25">
        <v>0</v>
      </c>
      <c r="M25">
        <v>0</v>
      </c>
      <c r="N25">
        <v>3.8997200000000002E-3</v>
      </c>
      <c r="O25">
        <v>1.4410600000000001E-3</v>
      </c>
      <c r="P25">
        <v>3.6416999999999998E-4</v>
      </c>
      <c r="Q25" s="2">
        <v>1.95</v>
      </c>
      <c r="R25">
        <v>0.05</v>
      </c>
      <c r="S25">
        <v>1.9506409199999999</v>
      </c>
      <c r="T25">
        <v>-7.8691100000000003E-3</v>
      </c>
      <c r="U25">
        <v>1.195967E-2</v>
      </c>
      <c r="V25">
        <v>0</v>
      </c>
    </row>
    <row r="26" spans="1:22" x14ac:dyDescent="0.25">
      <c r="A26">
        <v>0</v>
      </c>
      <c r="B26">
        <v>7.4999999999999997E-2</v>
      </c>
      <c r="C26">
        <v>25</v>
      </c>
      <c r="D26">
        <v>0.92830000000000001</v>
      </c>
      <c r="E26">
        <v>8.2100000000000006E-2</v>
      </c>
      <c r="F26">
        <v>9.2663799999999994E-3</v>
      </c>
      <c r="G26">
        <v>0.93193563000000001</v>
      </c>
      <c r="H26">
        <v>0.95131487999999997</v>
      </c>
      <c r="I26" s="2">
        <v>5.6800000000000003E-2</v>
      </c>
      <c r="J26">
        <v>8.8200000000000001E-2</v>
      </c>
      <c r="K26">
        <v>0</v>
      </c>
      <c r="L26">
        <v>0</v>
      </c>
      <c r="M26">
        <v>0</v>
      </c>
      <c r="N26">
        <v>5.71917E-3</v>
      </c>
      <c r="O26">
        <v>1.81945E-3</v>
      </c>
      <c r="P26">
        <v>3.7837999999999999E-4</v>
      </c>
      <c r="Q26" s="2">
        <v>1.95</v>
      </c>
      <c r="R26">
        <v>0.05</v>
      </c>
      <c r="S26">
        <v>1.9506409199999999</v>
      </c>
      <c r="T26">
        <v>-9.7786799999999997E-3</v>
      </c>
      <c r="U26">
        <v>1.5201859999999999E-2</v>
      </c>
      <c r="V26">
        <v>0</v>
      </c>
    </row>
    <row r="27" spans="1:22" x14ac:dyDescent="0.25">
      <c r="A27">
        <v>0</v>
      </c>
      <c r="B27">
        <v>7.8E-2</v>
      </c>
      <c r="C27">
        <v>26</v>
      </c>
      <c r="D27">
        <v>0.91849999999999998</v>
      </c>
      <c r="E27">
        <v>9.7299999999999998E-2</v>
      </c>
      <c r="F27">
        <v>1.1214429999999999E-2</v>
      </c>
      <c r="G27">
        <v>0.92367284000000005</v>
      </c>
      <c r="H27">
        <v>0.95131487999999997</v>
      </c>
      <c r="I27" s="2">
        <v>7.8700000000000006E-2</v>
      </c>
      <c r="J27">
        <v>0.1055</v>
      </c>
      <c r="K27">
        <v>0</v>
      </c>
      <c r="L27">
        <v>0</v>
      </c>
      <c r="M27">
        <v>0</v>
      </c>
      <c r="N27">
        <v>7.9211200000000002E-3</v>
      </c>
      <c r="O27">
        <v>2.2019499999999998E-3</v>
      </c>
      <c r="P27">
        <v>3.8249999999999997E-4</v>
      </c>
      <c r="Q27" s="2">
        <v>1.95</v>
      </c>
      <c r="R27">
        <v>0.05</v>
      </c>
      <c r="S27">
        <v>1.9506409199999999</v>
      </c>
      <c r="T27">
        <v>-1.164139E-2</v>
      </c>
      <c r="U27">
        <v>1.8520470000000001E-2</v>
      </c>
      <c r="V27">
        <v>0</v>
      </c>
    </row>
    <row r="28" spans="1:22" x14ac:dyDescent="0.25">
      <c r="A28">
        <v>0</v>
      </c>
      <c r="B28">
        <v>8.1000000000000003E-2</v>
      </c>
      <c r="C28">
        <v>27</v>
      </c>
      <c r="D28">
        <v>0.90690000000000004</v>
      </c>
      <c r="E28">
        <v>0.1158</v>
      </c>
      <c r="F28">
        <v>1.31343E-2</v>
      </c>
      <c r="G28">
        <v>0.91425825999999999</v>
      </c>
      <c r="H28">
        <v>0.95131487999999997</v>
      </c>
      <c r="I28" s="2">
        <v>0.1043</v>
      </c>
      <c r="J28">
        <v>0.127</v>
      </c>
      <c r="K28">
        <v>0</v>
      </c>
      <c r="L28">
        <v>0</v>
      </c>
      <c r="M28">
        <v>0</v>
      </c>
      <c r="N28">
        <v>1.050003E-2</v>
      </c>
      <c r="O28">
        <v>2.5789099999999998E-3</v>
      </c>
      <c r="P28">
        <v>3.7697000000000002E-4</v>
      </c>
      <c r="Q28" s="2">
        <v>1.95</v>
      </c>
      <c r="R28">
        <v>0.05</v>
      </c>
      <c r="S28">
        <v>1.9506409199999999</v>
      </c>
      <c r="T28">
        <v>-1.3404289999999999E-2</v>
      </c>
      <c r="U28">
        <v>2.1834039999999999E-2</v>
      </c>
      <c r="V28">
        <v>0</v>
      </c>
    </row>
    <row r="29" spans="1:22" x14ac:dyDescent="0.25">
      <c r="A29">
        <v>0</v>
      </c>
      <c r="B29">
        <v>8.4000000000000005E-2</v>
      </c>
      <c r="C29">
        <v>28</v>
      </c>
      <c r="D29">
        <v>0.89349999999999996</v>
      </c>
      <c r="E29">
        <v>0.13769999999999999</v>
      </c>
      <c r="F29">
        <v>1.4978969999999999E-2</v>
      </c>
      <c r="G29">
        <v>0.90402974000000003</v>
      </c>
      <c r="H29">
        <v>0.95131487999999997</v>
      </c>
      <c r="I29" s="2">
        <v>0.13350000000000001</v>
      </c>
      <c r="J29">
        <v>0.15290000000000001</v>
      </c>
      <c r="K29">
        <v>0</v>
      </c>
      <c r="L29">
        <v>0</v>
      </c>
      <c r="M29">
        <v>0</v>
      </c>
      <c r="N29">
        <v>1.3441150000000001E-2</v>
      </c>
      <c r="O29">
        <v>2.9411099999999998E-3</v>
      </c>
      <c r="P29">
        <v>3.6220000000000002E-4</v>
      </c>
      <c r="Q29" s="2">
        <v>1.95</v>
      </c>
      <c r="R29">
        <v>0.05</v>
      </c>
      <c r="S29">
        <v>1.9506409199999999</v>
      </c>
      <c r="T29">
        <v>-1.502012E-2</v>
      </c>
      <c r="U29">
        <v>2.506237E-2</v>
      </c>
      <c r="V29">
        <v>0</v>
      </c>
    </row>
    <row r="30" spans="1:22" x14ac:dyDescent="0.25">
      <c r="A30">
        <v>0</v>
      </c>
      <c r="B30">
        <v>8.6999999999999994E-2</v>
      </c>
      <c r="C30">
        <v>29</v>
      </c>
      <c r="D30">
        <v>0.87849999999999995</v>
      </c>
      <c r="E30">
        <v>0.16270000000000001</v>
      </c>
      <c r="F30">
        <v>1.6703840000000001E-2</v>
      </c>
      <c r="G30">
        <v>0.89341079999999995</v>
      </c>
      <c r="H30">
        <v>0.95131487999999997</v>
      </c>
      <c r="I30" s="2">
        <v>0.1661</v>
      </c>
      <c r="J30">
        <v>0.1832</v>
      </c>
      <c r="K30">
        <v>0</v>
      </c>
      <c r="L30">
        <v>0</v>
      </c>
      <c r="M30">
        <v>0</v>
      </c>
      <c r="N30">
        <v>1.672094E-2</v>
      </c>
      <c r="O30">
        <v>3.2797899999999999E-3</v>
      </c>
      <c r="P30">
        <v>3.3868E-4</v>
      </c>
      <c r="Q30" s="2">
        <v>1.95</v>
      </c>
      <c r="R30">
        <v>0.05</v>
      </c>
      <c r="S30">
        <v>1.9506409199999999</v>
      </c>
      <c r="T30">
        <v>-1.644758E-2</v>
      </c>
      <c r="U30">
        <v>2.8127240000000001E-2</v>
      </c>
      <c r="V30">
        <v>0</v>
      </c>
    </row>
    <row r="31" spans="1:22" x14ac:dyDescent="0.25">
      <c r="A31">
        <v>0</v>
      </c>
      <c r="B31">
        <v>0.09</v>
      </c>
      <c r="C31">
        <v>30</v>
      </c>
      <c r="D31">
        <v>0.86199999999999999</v>
      </c>
      <c r="E31">
        <v>0.1908</v>
      </c>
      <c r="F31">
        <v>1.82674E-2</v>
      </c>
      <c r="G31">
        <v>0.88289342000000004</v>
      </c>
      <c r="H31">
        <v>0.95131487999999997</v>
      </c>
      <c r="I31" s="2">
        <v>0.20169999999999999</v>
      </c>
      <c r="J31">
        <v>0.21790000000000001</v>
      </c>
      <c r="K31">
        <v>0</v>
      </c>
      <c r="L31">
        <v>0</v>
      </c>
      <c r="M31">
        <v>0</v>
      </c>
      <c r="N31">
        <v>2.0307740000000001E-2</v>
      </c>
      <c r="O31">
        <v>3.5867999999999998E-3</v>
      </c>
      <c r="P31">
        <v>3.0699999999999998E-4</v>
      </c>
      <c r="Q31" s="2">
        <v>1.95</v>
      </c>
      <c r="R31">
        <v>0.05</v>
      </c>
      <c r="S31">
        <v>1.9506409199999999</v>
      </c>
      <c r="T31">
        <v>-1.7651900000000002E-2</v>
      </c>
      <c r="U31">
        <v>3.0953700000000001E-2</v>
      </c>
      <c r="V31">
        <v>0</v>
      </c>
    </row>
    <row r="32" spans="1:22" x14ac:dyDescent="0.25">
      <c r="A32">
        <v>0</v>
      </c>
      <c r="B32">
        <v>9.2999999999999999E-2</v>
      </c>
      <c r="C32">
        <v>31</v>
      </c>
      <c r="D32">
        <v>0.84440000000000004</v>
      </c>
      <c r="E32">
        <v>0.2218</v>
      </c>
      <c r="F32">
        <v>1.963202E-2</v>
      </c>
      <c r="G32">
        <v>0.87301355000000003</v>
      </c>
      <c r="H32">
        <v>0.95131487999999997</v>
      </c>
      <c r="I32" s="2">
        <v>0.24</v>
      </c>
      <c r="J32">
        <v>0.25690000000000002</v>
      </c>
      <c r="K32">
        <v>0</v>
      </c>
      <c r="L32">
        <v>0</v>
      </c>
      <c r="M32">
        <v>0</v>
      </c>
      <c r="N32">
        <v>2.4162469999999998E-2</v>
      </c>
      <c r="O32">
        <v>3.8547400000000002E-3</v>
      </c>
      <c r="P32">
        <v>2.6793999999999999E-4</v>
      </c>
      <c r="Q32" s="2">
        <v>1.95</v>
      </c>
      <c r="R32">
        <v>0.05</v>
      </c>
      <c r="S32">
        <v>1.9506409199999999</v>
      </c>
      <c r="T32">
        <v>-1.8605400000000001E-2</v>
      </c>
      <c r="U32">
        <v>3.3471590000000002E-2</v>
      </c>
      <c r="V32">
        <v>0</v>
      </c>
    </row>
    <row r="33" spans="1:22" x14ac:dyDescent="0.25">
      <c r="A33">
        <v>0</v>
      </c>
      <c r="B33">
        <v>9.6000000000000002E-2</v>
      </c>
      <c r="C33">
        <v>32</v>
      </c>
      <c r="D33">
        <v>0.82579999999999998</v>
      </c>
      <c r="E33">
        <v>0.25530000000000003</v>
      </c>
      <c r="F33">
        <v>2.0764749999999998E-2</v>
      </c>
      <c r="G33">
        <v>0.86431906999999997</v>
      </c>
      <c r="H33">
        <v>0.95131487999999997</v>
      </c>
      <c r="I33" s="2">
        <v>0.28050000000000003</v>
      </c>
      <c r="J33">
        <v>0.29980000000000001</v>
      </c>
      <c r="K33">
        <v>0</v>
      </c>
      <c r="L33">
        <v>0</v>
      </c>
      <c r="M33">
        <v>0</v>
      </c>
      <c r="N33">
        <v>2.823962E-2</v>
      </c>
      <c r="O33">
        <v>4.0771499999999999E-3</v>
      </c>
      <c r="P33">
        <v>2.2241000000000001E-4</v>
      </c>
      <c r="Q33" s="2">
        <v>1.95</v>
      </c>
      <c r="R33">
        <v>0.05</v>
      </c>
      <c r="S33">
        <v>1.9506409199999999</v>
      </c>
      <c r="T33">
        <v>-1.9288030000000001E-2</v>
      </c>
      <c r="U33">
        <v>3.5617299999999998E-2</v>
      </c>
      <c r="V33">
        <v>0</v>
      </c>
    </row>
    <row r="34" spans="1:22" x14ac:dyDescent="0.25">
      <c r="A34">
        <v>0</v>
      </c>
      <c r="B34">
        <v>9.9000000000000005E-2</v>
      </c>
      <c r="C34">
        <v>33</v>
      </c>
      <c r="D34">
        <v>0.80649999999999999</v>
      </c>
      <c r="E34">
        <v>0.29089999999999999</v>
      </c>
      <c r="F34">
        <v>2.1638149999999998E-2</v>
      </c>
      <c r="G34">
        <v>0.85733159999999997</v>
      </c>
      <c r="H34">
        <v>0.95131487999999997</v>
      </c>
      <c r="I34" s="2">
        <v>0.32279999999999998</v>
      </c>
      <c r="J34">
        <v>0.34620000000000001</v>
      </c>
      <c r="K34">
        <v>0</v>
      </c>
      <c r="L34">
        <v>0</v>
      </c>
      <c r="M34">
        <v>0</v>
      </c>
      <c r="N34">
        <v>3.2488259999999998E-2</v>
      </c>
      <c r="O34">
        <v>4.2486399999999997E-3</v>
      </c>
      <c r="P34">
        <v>1.7149E-4</v>
      </c>
      <c r="Q34" s="2">
        <v>1.95</v>
      </c>
      <c r="R34">
        <v>0.05</v>
      </c>
      <c r="S34">
        <v>1.9506409199999999</v>
      </c>
      <c r="T34">
        <v>-1.9687639999999999E-2</v>
      </c>
      <c r="U34">
        <v>3.7335430000000003E-2</v>
      </c>
      <c r="V34">
        <v>0</v>
      </c>
    </row>
    <row r="35" spans="1:22" x14ac:dyDescent="0.25">
      <c r="A35">
        <v>0</v>
      </c>
      <c r="B35">
        <v>0.10199999999999999</v>
      </c>
      <c r="C35">
        <v>34</v>
      </c>
      <c r="D35">
        <v>0.78680000000000005</v>
      </c>
      <c r="E35">
        <v>0.32819999999999999</v>
      </c>
      <c r="F35">
        <v>2.2231000000000001E-2</v>
      </c>
      <c r="G35">
        <v>0.85250493999999999</v>
      </c>
      <c r="H35">
        <v>0.95131487999999997</v>
      </c>
      <c r="I35" s="2">
        <v>0.36609999999999998</v>
      </c>
      <c r="J35">
        <v>0.3952</v>
      </c>
      <c r="K35">
        <v>0</v>
      </c>
      <c r="L35">
        <v>0</v>
      </c>
      <c r="M35">
        <v>0</v>
      </c>
      <c r="N35">
        <v>3.685331E-2</v>
      </c>
      <c r="O35">
        <v>4.3650499999999997E-3</v>
      </c>
      <c r="P35">
        <v>1.1641000000000001E-4</v>
      </c>
      <c r="Q35" s="2">
        <v>1.95</v>
      </c>
      <c r="R35">
        <v>0.05</v>
      </c>
      <c r="S35">
        <v>1.9506409199999999</v>
      </c>
      <c r="T35">
        <v>-1.9800169999999999E-2</v>
      </c>
      <c r="U35">
        <v>3.8580440000000001E-2</v>
      </c>
      <c r="V35">
        <v>0</v>
      </c>
    </row>
    <row r="36" spans="1:22" x14ac:dyDescent="0.25">
      <c r="A36">
        <v>0</v>
      </c>
      <c r="B36">
        <v>0.105</v>
      </c>
      <c r="C36">
        <v>35</v>
      </c>
      <c r="D36">
        <v>0.76700000000000002</v>
      </c>
      <c r="E36">
        <v>0.36680000000000001</v>
      </c>
      <c r="F36">
        <v>2.2528840000000001E-2</v>
      </c>
      <c r="G36">
        <v>0.85018475999999998</v>
      </c>
      <c r="H36">
        <v>0.95131487999999997</v>
      </c>
      <c r="I36" s="2">
        <v>0.41010000000000002</v>
      </c>
      <c r="J36">
        <v>0.4461</v>
      </c>
      <c r="K36">
        <v>0</v>
      </c>
      <c r="L36">
        <v>0</v>
      </c>
      <c r="M36">
        <v>0</v>
      </c>
      <c r="N36">
        <v>4.1276840000000002E-2</v>
      </c>
      <c r="O36">
        <v>4.4235300000000002E-3</v>
      </c>
      <c r="P36">
        <v>5.8480000000000003E-5</v>
      </c>
      <c r="Q36" s="2">
        <v>1.95</v>
      </c>
      <c r="R36">
        <v>0.05</v>
      </c>
      <c r="S36">
        <v>1.9506409199999999</v>
      </c>
      <c r="T36">
        <v>-1.962947E-2</v>
      </c>
      <c r="U36">
        <v>3.931801E-2</v>
      </c>
      <c r="V36">
        <v>0</v>
      </c>
    </row>
    <row r="37" spans="1:22" x14ac:dyDescent="0.25">
      <c r="A37">
        <v>0</v>
      </c>
      <c r="B37">
        <v>0.108</v>
      </c>
      <c r="C37">
        <v>36</v>
      </c>
      <c r="D37">
        <v>0.74739999999999995</v>
      </c>
      <c r="E37">
        <v>0.40610000000000002</v>
      </c>
      <c r="F37">
        <v>2.2524389999999998E-2</v>
      </c>
      <c r="G37">
        <v>0.85057521999999997</v>
      </c>
      <c r="H37">
        <v>0.95131487999999997</v>
      </c>
      <c r="I37" s="2">
        <v>0.36609999999999998</v>
      </c>
      <c r="J37">
        <v>0.49780000000000002</v>
      </c>
      <c r="K37">
        <v>0</v>
      </c>
      <c r="L37">
        <v>0</v>
      </c>
      <c r="M37">
        <v>0</v>
      </c>
      <c r="N37">
        <v>4.5699490000000002E-2</v>
      </c>
      <c r="O37">
        <v>4.4226500000000002E-3</v>
      </c>
      <c r="P37">
        <v>-8.7000000000000003E-7</v>
      </c>
      <c r="Q37" s="2">
        <v>1.95</v>
      </c>
      <c r="R37">
        <v>0.05</v>
      </c>
      <c r="S37">
        <v>1.9506409199999999</v>
      </c>
      <c r="T37">
        <v>-1.9186999999999999E-2</v>
      </c>
      <c r="U37">
        <v>3.9526180000000001E-2</v>
      </c>
      <c r="V37">
        <v>0</v>
      </c>
    </row>
    <row r="38" spans="1:22" x14ac:dyDescent="0.25">
      <c r="A38">
        <v>0</v>
      </c>
      <c r="B38">
        <v>0.111</v>
      </c>
      <c r="C38">
        <v>37</v>
      </c>
      <c r="D38">
        <v>0.72819999999999996</v>
      </c>
      <c r="E38">
        <v>0.4456</v>
      </c>
      <c r="F38">
        <v>2.2217770000000001E-2</v>
      </c>
      <c r="G38">
        <v>0.85371801000000003</v>
      </c>
      <c r="H38">
        <v>0.95131487999999997</v>
      </c>
      <c r="I38" s="2">
        <v>0.32279999999999998</v>
      </c>
      <c r="J38">
        <v>0.54920000000000002</v>
      </c>
      <c r="K38">
        <v>0</v>
      </c>
      <c r="L38">
        <v>0</v>
      </c>
      <c r="M38">
        <v>0</v>
      </c>
      <c r="N38">
        <v>5.0061939999999999E-2</v>
      </c>
      <c r="O38">
        <v>4.3624500000000004E-3</v>
      </c>
      <c r="P38">
        <v>-6.0210000000000001E-5</v>
      </c>
      <c r="Q38" s="2">
        <v>1.95</v>
      </c>
      <c r="R38">
        <v>0.05</v>
      </c>
      <c r="S38">
        <v>1.9506409199999999</v>
      </c>
      <c r="T38">
        <v>-1.849114E-2</v>
      </c>
      <c r="U38">
        <v>3.9196130000000003E-2</v>
      </c>
      <c r="V38">
        <v>0</v>
      </c>
    </row>
    <row r="39" spans="1:22" x14ac:dyDescent="0.25">
      <c r="A39">
        <v>0</v>
      </c>
      <c r="B39">
        <v>0.114</v>
      </c>
      <c r="C39">
        <v>38</v>
      </c>
      <c r="D39">
        <v>0.7097</v>
      </c>
      <c r="E39">
        <v>0.48480000000000001</v>
      </c>
      <c r="F39">
        <v>2.1616449999999999E-2</v>
      </c>
      <c r="G39">
        <v>0.85948742</v>
      </c>
      <c r="H39">
        <v>0.95131487999999997</v>
      </c>
      <c r="I39" s="2">
        <v>0.28060000000000002</v>
      </c>
      <c r="J39">
        <v>0.59940000000000004</v>
      </c>
      <c r="K39">
        <v>0</v>
      </c>
      <c r="L39">
        <v>0</v>
      </c>
      <c r="M39">
        <v>0</v>
      </c>
      <c r="N39">
        <v>5.4306319999999998E-2</v>
      </c>
      <c r="O39">
        <v>4.2443799999999999E-3</v>
      </c>
      <c r="P39">
        <v>-1.1807E-4</v>
      </c>
      <c r="Q39" s="2">
        <v>1.95</v>
      </c>
      <c r="R39">
        <v>0.05</v>
      </c>
      <c r="S39">
        <v>1.9506409199999999</v>
      </c>
      <c r="T39">
        <v>-1.7566450000000001E-2</v>
      </c>
      <c r="U39">
        <v>3.8332570000000003E-2</v>
      </c>
      <c r="V39">
        <v>0</v>
      </c>
    </row>
    <row r="40" spans="1:22" x14ac:dyDescent="0.25">
      <c r="A40">
        <v>0</v>
      </c>
      <c r="B40">
        <v>0.11700000000000001</v>
      </c>
      <c r="C40">
        <v>39</v>
      </c>
      <c r="D40">
        <v>0.69210000000000005</v>
      </c>
      <c r="E40">
        <v>0.5232</v>
      </c>
      <c r="F40">
        <v>2.0735110000000001E-2</v>
      </c>
      <c r="G40">
        <v>0.86760250999999999</v>
      </c>
      <c r="H40">
        <v>0.95131487999999997</v>
      </c>
      <c r="I40" s="2">
        <v>0.2402</v>
      </c>
      <c r="J40">
        <v>0.64729999999999999</v>
      </c>
      <c r="K40">
        <v>0</v>
      </c>
      <c r="L40">
        <v>0</v>
      </c>
      <c r="M40">
        <v>0</v>
      </c>
      <c r="N40">
        <v>5.8377650000000003E-2</v>
      </c>
      <c r="O40">
        <v>4.0713299999999997E-3</v>
      </c>
      <c r="P40">
        <v>-1.7305000000000001E-4</v>
      </c>
      <c r="Q40" s="2">
        <v>1.95</v>
      </c>
      <c r="R40">
        <v>0.05</v>
      </c>
      <c r="S40">
        <v>1.9506409199999999</v>
      </c>
      <c r="T40">
        <v>-1.644263E-2</v>
      </c>
      <c r="U40">
        <v>3.6953760000000002E-2</v>
      </c>
      <c r="V40">
        <v>0</v>
      </c>
    </row>
    <row r="41" spans="1:22" x14ac:dyDescent="0.25">
      <c r="A41">
        <v>0</v>
      </c>
      <c r="B41">
        <v>0.12</v>
      </c>
      <c r="C41">
        <v>40</v>
      </c>
      <c r="D41">
        <v>0.67569999999999997</v>
      </c>
      <c r="E41">
        <v>0.56010000000000004</v>
      </c>
      <c r="F41">
        <v>1.9595169999999999E-2</v>
      </c>
      <c r="G41">
        <v>0.87765393000000003</v>
      </c>
      <c r="H41">
        <v>0.95131487999999997</v>
      </c>
      <c r="I41" s="2">
        <v>0.20200000000000001</v>
      </c>
      <c r="J41">
        <v>0.69220000000000004</v>
      </c>
      <c r="K41">
        <v>0</v>
      </c>
      <c r="L41">
        <v>0</v>
      </c>
      <c r="M41">
        <v>0</v>
      </c>
      <c r="N41">
        <v>6.222515E-2</v>
      </c>
      <c r="O41">
        <v>3.8474999999999998E-3</v>
      </c>
      <c r="P41">
        <v>-2.2383E-4</v>
      </c>
      <c r="Q41" s="2">
        <v>1.95</v>
      </c>
      <c r="R41">
        <v>0.05</v>
      </c>
      <c r="S41">
        <v>1.9506409199999999</v>
      </c>
      <c r="T41">
        <v>-1.5153399999999999E-2</v>
      </c>
      <c r="U41">
        <v>3.509106E-2</v>
      </c>
      <c r="V41">
        <v>0</v>
      </c>
    </row>
    <row r="42" spans="1:22" x14ac:dyDescent="0.25">
      <c r="A42">
        <v>0</v>
      </c>
      <c r="B42">
        <v>0.123</v>
      </c>
      <c r="C42">
        <v>41</v>
      </c>
      <c r="D42">
        <v>0.66049999999999998</v>
      </c>
      <c r="E42">
        <v>0.59519999999999995</v>
      </c>
      <c r="F42">
        <v>1.8224219999999999E-2</v>
      </c>
      <c r="G42">
        <v>0.88914068000000002</v>
      </c>
      <c r="H42">
        <v>0.95131487999999997</v>
      </c>
      <c r="I42" s="2">
        <v>0.16639999999999999</v>
      </c>
      <c r="J42">
        <v>0.73340000000000005</v>
      </c>
      <c r="K42">
        <v>0</v>
      </c>
      <c r="L42">
        <v>0</v>
      </c>
      <c r="M42">
        <v>0</v>
      </c>
      <c r="N42">
        <v>6.5803470000000003E-2</v>
      </c>
      <c r="O42">
        <v>3.5783199999999999E-3</v>
      </c>
      <c r="P42">
        <v>-2.6917999999999999E-4</v>
      </c>
      <c r="Q42" s="2">
        <v>1.95</v>
      </c>
      <c r="R42">
        <v>0.05</v>
      </c>
      <c r="S42">
        <v>1.9506409199999999</v>
      </c>
      <c r="T42">
        <v>-1.373534E-2</v>
      </c>
      <c r="U42">
        <v>3.2788200000000003E-2</v>
      </c>
      <c r="V42">
        <v>0</v>
      </c>
    </row>
    <row r="43" spans="1:22" x14ac:dyDescent="0.25">
      <c r="A43">
        <v>0</v>
      </c>
      <c r="B43">
        <v>0.126</v>
      </c>
      <c r="C43">
        <v>42</v>
      </c>
      <c r="D43">
        <v>0.64680000000000004</v>
      </c>
      <c r="E43">
        <v>0.628</v>
      </c>
      <c r="F43">
        <v>1.6655380000000001E-2</v>
      </c>
      <c r="G43">
        <v>0.90151121999999995</v>
      </c>
      <c r="H43">
        <v>0.95131487999999997</v>
      </c>
      <c r="I43" s="2">
        <v>0.13389999999999999</v>
      </c>
      <c r="J43">
        <v>0.77070000000000005</v>
      </c>
      <c r="K43">
        <v>0</v>
      </c>
      <c r="L43">
        <v>0</v>
      </c>
      <c r="M43">
        <v>0</v>
      </c>
      <c r="N43">
        <v>6.9073739999999995E-2</v>
      </c>
      <c r="O43">
        <v>3.27028E-3</v>
      </c>
      <c r="P43">
        <v>-3.0803999999999998E-4</v>
      </c>
      <c r="Q43" s="2">
        <v>1.95</v>
      </c>
      <c r="R43">
        <v>0.05</v>
      </c>
      <c r="S43">
        <v>1.9506409199999999</v>
      </c>
      <c r="T43">
        <v>-1.22267E-2</v>
      </c>
      <c r="U43">
        <v>3.0100180000000001E-2</v>
      </c>
      <c r="V43">
        <v>0</v>
      </c>
    </row>
    <row r="44" spans="1:22" x14ac:dyDescent="0.25">
      <c r="A44">
        <v>0</v>
      </c>
      <c r="B44">
        <v>0.129</v>
      </c>
      <c r="C44">
        <v>43</v>
      </c>
      <c r="D44">
        <v>0.63460000000000005</v>
      </c>
      <c r="E44">
        <v>0.65810000000000002</v>
      </c>
      <c r="F44">
        <v>1.4926389999999999E-2</v>
      </c>
      <c r="G44">
        <v>0.91420369000000001</v>
      </c>
      <c r="H44">
        <v>0.95131487999999997</v>
      </c>
      <c r="I44" s="2">
        <v>0.1048</v>
      </c>
      <c r="J44">
        <v>0.80359999999999998</v>
      </c>
      <c r="K44">
        <v>0</v>
      </c>
      <c r="L44">
        <v>0</v>
      </c>
      <c r="M44">
        <v>0</v>
      </c>
      <c r="N44">
        <v>7.2004529999999997E-2</v>
      </c>
      <c r="O44">
        <v>2.93079E-3</v>
      </c>
      <c r="P44">
        <v>-3.3949000000000002E-4</v>
      </c>
      <c r="Q44" s="2">
        <v>1.95</v>
      </c>
      <c r="R44">
        <v>0.05</v>
      </c>
      <c r="S44">
        <v>1.9506409199999999</v>
      </c>
      <c r="T44">
        <v>-1.0666200000000001E-2</v>
      </c>
      <c r="U44">
        <v>2.7091980000000002E-2</v>
      </c>
      <c r="V44">
        <v>0</v>
      </c>
    </row>
    <row r="45" spans="1:22" x14ac:dyDescent="0.25">
      <c r="A45">
        <v>0</v>
      </c>
      <c r="B45">
        <v>0.13200000000000001</v>
      </c>
      <c r="C45">
        <v>44</v>
      </c>
      <c r="D45">
        <v>0.62390000000000001</v>
      </c>
      <c r="E45">
        <v>0.68520000000000003</v>
      </c>
      <c r="F45">
        <v>1.3078869999999999E-2</v>
      </c>
      <c r="G45">
        <v>0.92668147000000001</v>
      </c>
      <c r="H45">
        <v>0.95131487999999997</v>
      </c>
      <c r="I45" s="2">
        <v>7.9299999999999995E-2</v>
      </c>
      <c r="J45">
        <v>0.83220000000000005</v>
      </c>
      <c r="K45">
        <v>0</v>
      </c>
      <c r="L45">
        <v>0</v>
      </c>
      <c r="M45">
        <v>0</v>
      </c>
      <c r="N45">
        <v>7.4572570000000005E-2</v>
      </c>
      <c r="O45">
        <v>2.5680299999999998E-3</v>
      </c>
      <c r="P45">
        <v>-3.6276E-4</v>
      </c>
      <c r="Q45" s="2">
        <v>1.95</v>
      </c>
      <c r="R45">
        <v>0.05</v>
      </c>
      <c r="S45">
        <v>1.9506409199999999</v>
      </c>
      <c r="T45">
        <v>-9.0920399999999992E-3</v>
      </c>
      <c r="U45">
        <v>2.3837069999999998E-2</v>
      </c>
      <c r="V45">
        <v>0</v>
      </c>
    </row>
    <row r="46" spans="1:22" x14ac:dyDescent="0.25">
      <c r="A46">
        <v>0</v>
      </c>
      <c r="B46">
        <v>0.13500000000000001</v>
      </c>
      <c r="C46">
        <v>45</v>
      </c>
      <c r="D46">
        <v>0.61480000000000001</v>
      </c>
      <c r="E46">
        <v>0.70899999999999996</v>
      </c>
      <c r="F46">
        <v>1.1157490000000001E-2</v>
      </c>
      <c r="G46">
        <v>0.93846202999999995</v>
      </c>
      <c r="H46">
        <v>0.95131487999999997</v>
      </c>
      <c r="I46" s="2">
        <v>5.7500000000000002E-2</v>
      </c>
      <c r="J46">
        <v>0.85650000000000004</v>
      </c>
      <c r="K46">
        <v>0</v>
      </c>
      <c r="L46">
        <v>0</v>
      </c>
      <c r="M46">
        <v>0</v>
      </c>
      <c r="N46">
        <v>7.6763330000000005E-2</v>
      </c>
      <c r="O46">
        <v>2.1907699999999999E-3</v>
      </c>
      <c r="P46">
        <v>-3.7725999999999998E-4</v>
      </c>
      <c r="Q46" s="2">
        <v>1.95</v>
      </c>
      <c r="R46">
        <v>0.05</v>
      </c>
      <c r="S46">
        <v>1.9506409199999999</v>
      </c>
      <c r="T46">
        <v>-7.5410199999999998E-3</v>
      </c>
      <c r="U46">
        <v>2.0416070000000001E-2</v>
      </c>
      <c r="V46">
        <v>0</v>
      </c>
    </row>
    <row r="47" spans="1:22" x14ac:dyDescent="0.25">
      <c r="A47">
        <v>0</v>
      </c>
      <c r="B47">
        <v>0.13800000000000001</v>
      </c>
      <c r="C47">
        <v>46</v>
      </c>
      <c r="D47">
        <v>0.60729999999999995</v>
      </c>
      <c r="E47">
        <v>0.72950000000000004</v>
      </c>
      <c r="F47">
        <v>9.2093399999999999E-3</v>
      </c>
      <c r="G47">
        <v>0.94913846999999996</v>
      </c>
      <c r="H47">
        <v>0.95131487999999997</v>
      </c>
      <c r="I47" s="2">
        <v>3.9600000000000003E-2</v>
      </c>
      <c r="J47">
        <v>0.87660000000000005</v>
      </c>
      <c r="K47">
        <v>0</v>
      </c>
      <c r="L47">
        <v>0</v>
      </c>
      <c r="M47">
        <v>0</v>
      </c>
      <c r="N47">
        <v>7.8571580000000002E-2</v>
      </c>
      <c r="O47">
        <v>1.80825E-3</v>
      </c>
      <c r="P47">
        <v>-3.8252000000000002E-4</v>
      </c>
      <c r="Q47" s="2">
        <v>1.95</v>
      </c>
      <c r="R47">
        <v>0.05</v>
      </c>
      <c r="S47">
        <v>1.9506409199999999</v>
      </c>
      <c r="T47">
        <v>-6.0478099999999998E-3</v>
      </c>
      <c r="U47">
        <v>1.691548E-2</v>
      </c>
      <c r="V47">
        <v>0</v>
      </c>
    </row>
    <row r="48" spans="1:22" x14ac:dyDescent="0.25">
      <c r="A48">
        <v>0</v>
      </c>
      <c r="B48">
        <v>0.14099999999999999</v>
      </c>
      <c r="C48">
        <v>47</v>
      </c>
      <c r="D48">
        <v>0.60119999999999996</v>
      </c>
      <c r="E48">
        <v>0.74639999999999995</v>
      </c>
      <c r="F48">
        <v>7.2836200000000002E-3</v>
      </c>
      <c r="G48">
        <v>0.95839426000000005</v>
      </c>
      <c r="H48">
        <v>0.95131487999999997</v>
      </c>
      <c r="I48" s="2">
        <v>2.5399999999999999E-2</v>
      </c>
      <c r="J48">
        <v>0.89270000000000005</v>
      </c>
      <c r="K48">
        <v>0</v>
      </c>
      <c r="L48">
        <v>0</v>
      </c>
      <c r="M48">
        <v>0</v>
      </c>
      <c r="N48">
        <v>8.0001719999999998E-2</v>
      </c>
      <c r="O48">
        <v>1.4301400000000001E-3</v>
      </c>
      <c r="P48">
        <v>-3.7811000000000002E-4</v>
      </c>
      <c r="Q48" s="2">
        <v>1.95</v>
      </c>
      <c r="R48">
        <v>0.05</v>
      </c>
      <c r="S48">
        <v>1.9506409199999999</v>
      </c>
      <c r="T48">
        <v>-4.6446600000000001E-3</v>
      </c>
      <c r="U48">
        <v>1.3427089999999999E-2</v>
      </c>
      <c r="V48">
        <v>0</v>
      </c>
    </row>
    <row r="49" spans="1:22" x14ac:dyDescent="0.25">
      <c r="A49">
        <v>0</v>
      </c>
      <c r="B49">
        <v>0.14399999999999999</v>
      </c>
      <c r="C49">
        <v>48</v>
      </c>
      <c r="D49">
        <v>0.59660000000000002</v>
      </c>
      <c r="E49">
        <v>0.75980000000000003</v>
      </c>
      <c r="F49">
        <v>5.4318700000000001E-3</v>
      </c>
      <c r="G49">
        <v>0.96601230000000005</v>
      </c>
      <c r="H49">
        <v>0.95131487999999997</v>
      </c>
      <c r="I49" s="2">
        <v>1.4800000000000001E-2</v>
      </c>
      <c r="J49">
        <v>0.9052</v>
      </c>
      <c r="K49">
        <v>0</v>
      </c>
      <c r="L49">
        <v>0</v>
      </c>
      <c r="M49">
        <v>0</v>
      </c>
      <c r="N49">
        <v>8.1068269999999998E-2</v>
      </c>
      <c r="O49">
        <v>1.0665500000000001E-3</v>
      </c>
      <c r="P49">
        <v>-3.6359000000000001E-4</v>
      </c>
      <c r="Q49" s="2">
        <v>1.95</v>
      </c>
      <c r="R49">
        <v>0.05</v>
      </c>
      <c r="S49">
        <v>1.9506409199999999</v>
      </c>
      <c r="T49">
        <v>-3.3614000000000001E-3</v>
      </c>
      <c r="U49">
        <v>1.004831E-2</v>
      </c>
      <c r="V49">
        <v>0</v>
      </c>
    </row>
    <row r="50" spans="1:22" x14ac:dyDescent="0.25">
      <c r="A50">
        <v>0</v>
      </c>
      <c r="B50">
        <v>0.14699999999999999</v>
      </c>
      <c r="C50">
        <v>49</v>
      </c>
      <c r="D50">
        <v>0.59319999999999995</v>
      </c>
      <c r="E50">
        <v>0.76980000000000004</v>
      </c>
      <c r="F50">
        <v>3.7093500000000001E-3</v>
      </c>
      <c r="G50">
        <v>0.97188005</v>
      </c>
      <c r="H50">
        <v>0.95131487999999997</v>
      </c>
      <c r="I50" s="2">
        <v>7.4999999999999997E-3</v>
      </c>
      <c r="J50">
        <v>0.9143</v>
      </c>
      <c r="K50">
        <v>0</v>
      </c>
      <c r="L50">
        <v>0</v>
      </c>
      <c r="M50">
        <v>0</v>
      </c>
      <c r="N50">
        <v>8.1796590000000002E-2</v>
      </c>
      <c r="O50">
        <v>7.2833000000000001E-4</v>
      </c>
      <c r="P50">
        <v>-3.3822000000000002E-4</v>
      </c>
      <c r="Q50" s="2">
        <v>1.95</v>
      </c>
      <c r="R50">
        <v>0.05</v>
      </c>
      <c r="S50">
        <v>1.9506409199999999</v>
      </c>
      <c r="T50">
        <v>-2.2261300000000002E-3</v>
      </c>
      <c r="U50">
        <v>6.88464E-3</v>
      </c>
      <c r="V50">
        <v>0</v>
      </c>
    </row>
    <row r="51" spans="1:22" x14ac:dyDescent="0.25">
      <c r="A51">
        <v>0</v>
      </c>
      <c r="B51">
        <v>0.15</v>
      </c>
      <c r="C51">
        <v>50</v>
      </c>
      <c r="D51">
        <v>0.59099999999999997</v>
      </c>
      <c r="E51">
        <v>0.77669999999999995</v>
      </c>
      <c r="F51">
        <v>2.1789299999999999E-3</v>
      </c>
      <c r="G51">
        <v>0.97599298999999995</v>
      </c>
      <c r="H51">
        <v>0.95131487999999997</v>
      </c>
      <c r="I51" s="2">
        <v>3.3E-3</v>
      </c>
      <c r="J51">
        <v>0.9204</v>
      </c>
      <c r="K51">
        <v>0</v>
      </c>
      <c r="L51">
        <v>0</v>
      </c>
      <c r="M51">
        <v>0</v>
      </c>
      <c r="N51">
        <v>8.2224430000000001E-2</v>
      </c>
      <c r="O51">
        <v>4.2782999999999997E-4</v>
      </c>
      <c r="P51">
        <v>-3.0049999999999999E-4</v>
      </c>
      <c r="Q51" s="2">
        <v>1.95</v>
      </c>
      <c r="R51">
        <v>0.05</v>
      </c>
      <c r="S51">
        <v>1.9506409199999999</v>
      </c>
      <c r="T51">
        <v>-1.2673300000000001E-3</v>
      </c>
      <c r="U51">
        <v>4.05698E-3</v>
      </c>
      <c r="V51">
        <v>0</v>
      </c>
    </row>
    <row r="52" spans="1:22" x14ac:dyDescent="0.25">
      <c r="A52">
        <v>0</v>
      </c>
      <c r="B52">
        <v>0.153</v>
      </c>
      <c r="C52">
        <v>51</v>
      </c>
      <c r="D52">
        <v>0.5897</v>
      </c>
      <c r="E52">
        <v>0.78080000000000005</v>
      </c>
      <c r="F52">
        <v>9.2252999999999996E-4</v>
      </c>
      <c r="G52">
        <v>0.97846043000000005</v>
      </c>
      <c r="H52">
        <v>0.95131487999999997</v>
      </c>
      <c r="I52" s="2">
        <v>1.5E-3</v>
      </c>
      <c r="J52">
        <v>0.92390000000000005</v>
      </c>
      <c r="K52">
        <v>0</v>
      </c>
      <c r="L52">
        <v>0</v>
      </c>
      <c r="M52">
        <v>0</v>
      </c>
      <c r="N52">
        <v>8.2405560000000003E-2</v>
      </c>
      <c r="O52">
        <v>1.8113999999999999E-4</v>
      </c>
      <c r="P52">
        <v>-2.4669999999999998E-4</v>
      </c>
      <c r="Q52" s="2">
        <v>1.95</v>
      </c>
      <c r="R52">
        <v>0.05</v>
      </c>
      <c r="S52">
        <v>1.9506409199999999</v>
      </c>
      <c r="T52">
        <v>-5.1966000000000002E-4</v>
      </c>
      <c r="U52">
        <v>1.7228499999999999E-3</v>
      </c>
      <c r="V52">
        <v>0</v>
      </c>
    </row>
    <row r="53" spans="1:22" x14ac:dyDescent="0.25">
      <c r="A53">
        <v>0</v>
      </c>
      <c r="B53">
        <v>0.156</v>
      </c>
      <c r="C53">
        <v>52</v>
      </c>
      <c r="D53">
        <v>0.58919999999999995</v>
      </c>
      <c r="E53">
        <v>0.78249999999999997</v>
      </c>
      <c r="F53">
        <v>8.9800000000000001E-5</v>
      </c>
      <c r="G53">
        <v>0.97952309999999998</v>
      </c>
      <c r="H53">
        <v>0.95131487999999997</v>
      </c>
      <c r="I53" s="2">
        <v>1.2999999999999999E-3</v>
      </c>
      <c r="J53">
        <v>0.9254</v>
      </c>
      <c r="K53">
        <v>0</v>
      </c>
      <c r="L53">
        <v>0</v>
      </c>
      <c r="M53">
        <v>0</v>
      </c>
      <c r="N53">
        <v>8.2423200000000002E-2</v>
      </c>
      <c r="O53">
        <v>1.7629999999999999E-5</v>
      </c>
      <c r="P53">
        <v>-1.6351000000000001E-4</v>
      </c>
      <c r="Q53" s="2">
        <v>1.95</v>
      </c>
      <c r="R53">
        <v>0.05</v>
      </c>
      <c r="S53">
        <v>1.9506409199999999</v>
      </c>
      <c r="T53">
        <v>-4.8949999999999997E-5</v>
      </c>
      <c r="U53">
        <v>1.6818000000000001E-4</v>
      </c>
      <c r="V53">
        <v>0</v>
      </c>
    </row>
    <row r="54" spans="1:22" x14ac:dyDescent="0.25">
      <c r="A54">
        <v>0</v>
      </c>
      <c r="B54">
        <v>0.159</v>
      </c>
      <c r="C54">
        <v>53</v>
      </c>
      <c r="D54">
        <v>0.58909999999999996</v>
      </c>
      <c r="E54">
        <v>0.78269999999999995</v>
      </c>
      <c r="F54">
        <v>0</v>
      </c>
      <c r="G54">
        <v>0.97962802000000004</v>
      </c>
      <c r="H54">
        <v>0.95131487999999997</v>
      </c>
      <c r="I54" s="2">
        <v>0</v>
      </c>
      <c r="J54">
        <v>0.92559999999999998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 s="2">
        <v>0</v>
      </c>
      <c r="R54">
        <v>0</v>
      </c>
      <c r="S54">
        <v>0</v>
      </c>
      <c r="T54">
        <v>0</v>
      </c>
      <c r="U54">
        <v>0</v>
      </c>
      <c r="V54">
        <v>0</v>
      </c>
    </row>
    <row r="55" spans="1:22" x14ac:dyDescent="0.25">
      <c r="A55">
        <v>0</v>
      </c>
      <c r="B55">
        <v>0.16200000000000001</v>
      </c>
      <c r="C55">
        <v>54</v>
      </c>
      <c r="D55">
        <v>0.58909999999999996</v>
      </c>
      <c r="E55">
        <v>0.78269999999999995</v>
      </c>
      <c r="F55">
        <v>0</v>
      </c>
      <c r="G55">
        <v>0.97962802000000004</v>
      </c>
      <c r="H55">
        <v>0.95131487999999997</v>
      </c>
      <c r="I55" s="2">
        <v>0</v>
      </c>
      <c r="J55">
        <v>0.92559999999999998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 s="2">
        <v>0</v>
      </c>
      <c r="R55">
        <v>0</v>
      </c>
      <c r="S55">
        <v>0</v>
      </c>
      <c r="T55">
        <v>0</v>
      </c>
      <c r="U55">
        <v>0</v>
      </c>
      <c r="V55">
        <v>0</v>
      </c>
    </row>
    <row r="56" spans="1:22" x14ac:dyDescent="0.25">
      <c r="A56">
        <v>0</v>
      </c>
      <c r="B56">
        <v>0.16500000000000001</v>
      </c>
      <c r="C56">
        <v>55</v>
      </c>
      <c r="D56">
        <v>0.58909999999999996</v>
      </c>
      <c r="E56">
        <v>0.78269999999999995</v>
      </c>
      <c r="F56">
        <v>0</v>
      </c>
      <c r="G56">
        <v>0.97962802000000004</v>
      </c>
      <c r="H56">
        <v>0.95131487999999997</v>
      </c>
      <c r="I56" s="2">
        <v>0</v>
      </c>
      <c r="J56">
        <v>0.92559999999999998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 s="2">
        <v>0</v>
      </c>
      <c r="R56">
        <v>0</v>
      </c>
      <c r="S56">
        <v>0</v>
      </c>
      <c r="T56">
        <v>0</v>
      </c>
      <c r="U56">
        <v>0</v>
      </c>
      <c r="V56">
        <v>0</v>
      </c>
    </row>
    <row r="57" spans="1:22" x14ac:dyDescent="0.25">
      <c r="A57">
        <v>0</v>
      </c>
      <c r="B57">
        <v>0.16800000000000001</v>
      </c>
      <c r="C57">
        <v>56</v>
      </c>
      <c r="D57">
        <v>0.58909999999999996</v>
      </c>
      <c r="E57">
        <v>0.78269999999999995</v>
      </c>
      <c r="F57">
        <v>0</v>
      </c>
      <c r="G57">
        <v>0.97962802000000004</v>
      </c>
      <c r="H57">
        <v>0.95131487999999997</v>
      </c>
      <c r="I57" s="2">
        <v>0</v>
      </c>
      <c r="J57">
        <v>0.92559999999999998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 s="2">
        <v>0</v>
      </c>
      <c r="R57">
        <v>0</v>
      </c>
      <c r="S57">
        <v>0</v>
      </c>
      <c r="T57">
        <v>0</v>
      </c>
      <c r="U57">
        <v>0</v>
      </c>
      <c r="V57">
        <v>0</v>
      </c>
    </row>
    <row r="58" spans="1:22" x14ac:dyDescent="0.25">
      <c r="A58">
        <v>0</v>
      </c>
      <c r="B58">
        <v>0.17100000000000001</v>
      </c>
      <c r="C58">
        <v>57</v>
      </c>
      <c r="D58">
        <v>0.58909999999999996</v>
      </c>
      <c r="E58">
        <v>0.78269999999999995</v>
      </c>
      <c r="F58">
        <v>0</v>
      </c>
      <c r="G58">
        <v>0.97962802000000004</v>
      </c>
      <c r="H58">
        <v>0.95131487999999997</v>
      </c>
      <c r="I58" s="2">
        <v>0</v>
      </c>
      <c r="J58">
        <v>0.92559999999999998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 s="2">
        <v>0</v>
      </c>
      <c r="R58">
        <v>0</v>
      </c>
      <c r="S58">
        <v>0</v>
      </c>
      <c r="T58">
        <v>0</v>
      </c>
      <c r="U58">
        <v>0</v>
      </c>
      <c r="V58">
        <v>0</v>
      </c>
    </row>
    <row r="59" spans="1:22" x14ac:dyDescent="0.25">
      <c r="A59">
        <v>0</v>
      </c>
      <c r="B59">
        <v>0.17399999999999999</v>
      </c>
      <c r="C59">
        <v>58</v>
      </c>
      <c r="D59">
        <v>0.58909999999999996</v>
      </c>
      <c r="E59">
        <v>0.78269999999999995</v>
      </c>
      <c r="F59">
        <v>0</v>
      </c>
      <c r="G59">
        <v>0.97962802000000004</v>
      </c>
      <c r="H59">
        <v>0.95131487999999997</v>
      </c>
      <c r="I59" s="2">
        <v>0</v>
      </c>
      <c r="J59">
        <v>0.92559999999999998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 s="2">
        <v>0</v>
      </c>
      <c r="R59">
        <v>0</v>
      </c>
      <c r="S59">
        <v>0</v>
      </c>
      <c r="T59">
        <v>0</v>
      </c>
      <c r="U59">
        <v>0</v>
      </c>
      <c r="V59">
        <v>0</v>
      </c>
    </row>
    <row r="60" spans="1:22" x14ac:dyDescent="0.25">
      <c r="A60">
        <v>0</v>
      </c>
      <c r="B60">
        <v>0.17699999999999999</v>
      </c>
      <c r="C60">
        <v>59</v>
      </c>
      <c r="D60">
        <v>0.58909999999999996</v>
      </c>
      <c r="E60">
        <v>0.78269999999999995</v>
      </c>
      <c r="F60">
        <v>0</v>
      </c>
      <c r="G60">
        <v>0.97962802000000004</v>
      </c>
      <c r="H60">
        <v>0.95131487999999997</v>
      </c>
      <c r="I60" s="2">
        <v>0</v>
      </c>
      <c r="J60">
        <v>0.92559999999999998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 s="2">
        <v>0</v>
      </c>
      <c r="R60">
        <v>0</v>
      </c>
      <c r="S60">
        <v>0</v>
      </c>
      <c r="T60">
        <v>0</v>
      </c>
      <c r="U60">
        <v>0</v>
      </c>
      <c r="V60">
        <v>0</v>
      </c>
    </row>
    <row r="61" spans="1:22" x14ac:dyDescent="0.25">
      <c r="A61">
        <v>0</v>
      </c>
      <c r="B61">
        <v>0.18</v>
      </c>
      <c r="C61">
        <v>60</v>
      </c>
      <c r="D61">
        <v>0.58909999999999996</v>
      </c>
      <c r="E61">
        <v>0.78269999999999995</v>
      </c>
      <c r="F61">
        <v>0</v>
      </c>
      <c r="G61">
        <v>0.97962802000000004</v>
      </c>
      <c r="H61">
        <v>0.95131487999999997</v>
      </c>
      <c r="I61" s="2">
        <v>0</v>
      </c>
      <c r="J61">
        <v>0.92559999999999998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 s="2">
        <v>0</v>
      </c>
      <c r="R61">
        <v>0</v>
      </c>
      <c r="S61">
        <v>0</v>
      </c>
      <c r="T61">
        <v>0</v>
      </c>
      <c r="U61">
        <v>0</v>
      </c>
      <c r="V61">
        <v>0</v>
      </c>
    </row>
    <row r="62" spans="1:22" x14ac:dyDescent="0.25">
      <c r="A62">
        <v>0</v>
      </c>
      <c r="B62">
        <v>0.183</v>
      </c>
      <c r="C62">
        <v>61</v>
      </c>
      <c r="D62">
        <v>0.58909999999999996</v>
      </c>
      <c r="E62">
        <v>0.78269999999999995</v>
      </c>
      <c r="F62">
        <v>0</v>
      </c>
      <c r="G62">
        <v>0.97962802000000004</v>
      </c>
      <c r="H62">
        <v>0.95131487999999997</v>
      </c>
      <c r="I62" s="2">
        <v>0</v>
      </c>
      <c r="J62">
        <v>0.92559999999999998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 s="2">
        <v>0</v>
      </c>
      <c r="R62">
        <v>0</v>
      </c>
      <c r="S62">
        <v>0</v>
      </c>
      <c r="T62">
        <v>0</v>
      </c>
      <c r="U62">
        <v>0</v>
      </c>
      <c r="V62">
        <v>0</v>
      </c>
    </row>
    <row r="63" spans="1:22" x14ac:dyDescent="0.25">
      <c r="A63">
        <v>0</v>
      </c>
      <c r="B63">
        <v>0.186</v>
      </c>
      <c r="C63">
        <v>62</v>
      </c>
      <c r="D63">
        <v>0.58909999999999996</v>
      </c>
      <c r="E63">
        <v>0.78269999999999995</v>
      </c>
      <c r="F63">
        <v>0</v>
      </c>
      <c r="G63">
        <v>0.97962802000000004</v>
      </c>
      <c r="H63">
        <v>0.95131487999999997</v>
      </c>
      <c r="I63" s="2">
        <v>0</v>
      </c>
      <c r="J63">
        <v>0.92559999999999998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 s="2">
        <v>0</v>
      </c>
      <c r="R63">
        <v>0</v>
      </c>
      <c r="S63">
        <v>0</v>
      </c>
      <c r="T63">
        <v>0</v>
      </c>
      <c r="U63">
        <v>0</v>
      </c>
      <c r="V63">
        <v>0</v>
      </c>
    </row>
    <row r="64" spans="1:22" x14ac:dyDescent="0.25">
      <c r="A64">
        <v>0</v>
      </c>
      <c r="B64">
        <v>0.189</v>
      </c>
      <c r="C64">
        <v>63</v>
      </c>
      <c r="D64">
        <v>0.58909999999999996</v>
      </c>
      <c r="E64">
        <v>0.78269999999999995</v>
      </c>
      <c r="F64">
        <v>0</v>
      </c>
      <c r="G64">
        <v>0.97962802000000004</v>
      </c>
      <c r="H64">
        <v>0.95131487999999997</v>
      </c>
      <c r="I64" s="2">
        <v>0</v>
      </c>
      <c r="J64">
        <v>0.92559999999999998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 s="2">
        <v>0</v>
      </c>
      <c r="R64">
        <v>0</v>
      </c>
      <c r="S64">
        <v>0</v>
      </c>
      <c r="T64">
        <v>0</v>
      </c>
      <c r="U64">
        <v>0</v>
      </c>
      <c r="V64">
        <v>0</v>
      </c>
    </row>
    <row r="65" spans="1:22" x14ac:dyDescent="0.25">
      <c r="A65">
        <v>0</v>
      </c>
      <c r="B65">
        <v>0.192</v>
      </c>
      <c r="C65">
        <v>64</v>
      </c>
      <c r="D65">
        <v>0.58909999999999996</v>
      </c>
      <c r="E65">
        <v>0.78269999999999995</v>
      </c>
      <c r="F65">
        <v>0</v>
      </c>
      <c r="G65">
        <v>0.97962802000000004</v>
      </c>
      <c r="H65">
        <v>0.95131487999999997</v>
      </c>
      <c r="I65" s="2">
        <v>0</v>
      </c>
      <c r="J65">
        <v>0.92559999999999998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 s="2">
        <v>0</v>
      </c>
      <c r="R65">
        <v>0</v>
      </c>
      <c r="S65">
        <v>0</v>
      </c>
      <c r="T65">
        <v>0</v>
      </c>
      <c r="U65">
        <v>0</v>
      </c>
      <c r="V65">
        <v>0</v>
      </c>
    </row>
    <row r="66" spans="1:22" x14ac:dyDescent="0.25">
      <c r="A66">
        <v>0</v>
      </c>
      <c r="B66">
        <v>0.19500000000000001</v>
      </c>
      <c r="C66">
        <v>65</v>
      </c>
      <c r="D66">
        <v>0.58909999999999996</v>
      </c>
      <c r="E66">
        <v>0.78269999999999995</v>
      </c>
      <c r="F66">
        <v>0</v>
      </c>
      <c r="G66">
        <v>0.97962802000000004</v>
      </c>
      <c r="H66">
        <v>0.95131487999999997</v>
      </c>
      <c r="I66" s="2">
        <v>0</v>
      </c>
      <c r="J66">
        <v>0.92559999999999998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 s="2">
        <v>0</v>
      </c>
      <c r="R66">
        <v>0</v>
      </c>
      <c r="S66">
        <v>0</v>
      </c>
      <c r="T66">
        <v>0</v>
      </c>
      <c r="U66">
        <v>0</v>
      </c>
      <c r="V66">
        <v>0</v>
      </c>
    </row>
    <row r="67" spans="1:22" x14ac:dyDescent="0.25">
      <c r="A67">
        <v>0</v>
      </c>
      <c r="B67">
        <v>0.19800000000000001</v>
      </c>
      <c r="C67">
        <v>66</v>
      </c>
      <c r="D67">
        <v>0.58909999999999996</v>
      </c>
      <c r="E67">
        <v>0.78269999999999995</v>
      </c>
      <c r="F67">
        <v>0</v>
      </c>
      <c r="G67">
        <v>0.97962802000000004</v>
      </c>
      <c r="H67">
        <v>0.95131487999999997</v>
      </c>
      <c r="I67" s="2">
        <v>0</v>
      </c>
      <c r="J67">
        <v>0.92559999999999998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 s="2">
        <v>0</v>
      </c>
      <c r="R67">
        <v>0</v>
      </c>
      <c r="S67">
        <v>0</v>
      </c>
      <c r="T67">
        <v>0</v>
      </c>
      <c r="U67">
        <v>0</v>
      </c>
      <c r="V67">
        <v>0</v>
      </c>
    </row>
    <row r="68" spans="1:22" x14ac:dyDescent="0.25">
      <c r="A68">
        <v>0</v>
      </c>
      <c r="B68">
        <v>0.20100000000000001</v>
      </c>
      <c r="C68">
        <v>67</v>
      </c>
      <c r="D68">
        <v>0.58909999999999996</v>
      </c>
      <c r="E68">
        <v>0.78269999999999995</v>
      </c>
      <c r="F68">
        <v>0</v>
      </c>
      <c r="G68">
        <v>0.97962802000000004</v>
      </c>
      <c r="H68">
        <v>0.95131487999999997</v>
      </c>
      <c r="I68" s="2">
        <v>0</v>
      </c>
      <c r="J68">
        <v>0.92559999999999998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 s="2">
        <v>0</v>
      </c>
      <c r="R68">
        <v>0</v>
      </c>
      <c r="S68">
        <v>0</v>
      </c>
      <c r="T68">
        <v>0</v>
      </c>
      <c r="U68">
        <v>0</v>
      </c>
      <c r="V68">
        <v>0</v>
      </c>
    </row>
    <row r="69" spans="1:22" x14ac:dyDescent="0.25">
      <c r="A69">
        <v>0</v>
      </c>
      <c r="B69">
        <v>0.20399999999999999</v>
      </c>
      <c r="C69">
        <v>68</v>
      </c>
      <c r="D69">
        <v>0.58909999999999996</v>
      </c>
      <c r="E69">
        <v>0.78269999999999995</v>
      </c>
      <c r="F69">
        <v>0</v>
      </c>
      <c r="G69">
        <v>0.97962802000000004</v>
      </c>
      <c r="H69">
        <v>0.95131487999999997</v>
      </c>
      <c r="I69" s="2">
        <v>0</v>
      </c>
      <c r="J69">
        <v>0.92559999999999998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 s="2">
        <v>0</v>
      </c>
      <c r="R69">
        <v>0</v>
      </c>
      <c r="S69">
        <v>0</v>
      </c>
      <c r="T69">
        <v>0</v>
      </c>
      <c r="U69">
        <v>0</v>
      </c>
      <c r="V69">
        <v>0</v>
      </c>
    </row>
    <row r="70" spans="1:22" x14ac:dyDescent="0.25">
      <c r="A70">
        <v>0</v>
      </c>
      <c r="B70">
        <v>0.20699999999999999</v>
      </c>
      <c r="C70">
        <v>69</v>
      </c>
      <c r="D70">
        <v>0.58909999999999996</v>
      </c>
      <c r="E70">
        <v>0.78269999999999995</v>
      </c>
      <c r="F70">
        <v>0</v>
      </c>
      <c r="G70">
        <v>0.97962802000000004</v>
      </c>
      <c r="H70">
        <v>0.95131487999999997</v>
      </c>
      <c r="I70" s="2">
        <v>0</v>
      </c>
      <c r="J70">
        <v>0.92559999999999998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 s="2">
        <v>0</v>
      </c>
      <c r="R70">
        <v>0</v>
      </c>
      <c r="S70">
        <v>0</v>
      </c>
      <c r="T70">
        <v>0</v>
      </c>
      <c r="U70">
        <v>0</v>
      </c>
      <c r="V70">
        <v>0</v>
      </c>
    </row>
    <row r="71" spans="1:22" x14ac:dyDescent="0.25">
      <c r="A71">
        <v>0</v>
      </c>
      <c r="B71">
        <v>0.21</v>
      </c>
      <c r="C71">
        <v>70</v>
      </c>
      <c r="D71">
        <v>0.58909999999999996</v>
      </c>
      <c r="E71">
        <v>0.78269999999999995</v>
      </c>
      <c r="F71">
        <v>0</v>
      </c>
      <c r="G71">
        <v>0.97962802000000004</v>
      </c>
      <c r="H71">
        <v>0.95131487999999997</v>
      </c>
      <c r="I71" s="2">
        <v>0</v>
      </c>
      <c r="J71">
        <v>0.92559999999999998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 s="2">
        <v>0</v>
      </c>
      <c r="R71">
        <v>0</v>
      </c>
      <c r="S71">
        <v>0</v>
      </c>
      <c r="T71">
        <v>0</v>
      </c>
      <c r="U71">
        <v>0</v>
      </c>
      <c r="V71">
        <v>0</v>
      </c>
    </row>
    <row r="72" spans="1:22" x14ac:dyDescent="0.25">
      <c r="A72">
        <v>0</v>
      </c>
      <c r="B72">
        <v>0.21299999999999999</v>
      </c>
      <c r="C72">
        <v>71</v>
      </c>
      <c r="D72">
        <v>0.58909999999999996</v>
      </c>
      <c r="E72">
        <v>0.78269999999999995</v>
      </c>
      <c r="F72">
        <v>0</v>
      </c>
      <c r="G72">
        <v>0.97962802000000004</v>
      </c>
      <c r="H72">
        <v>0.95131487999999997</v>
      </c>
      <c r="I72" s="2">
        <v>0</v>
      </c>
      <c r="J72">
        <v>0.92559999999999998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 s="2">
        <v>0</v>
      </c>
      <c r="R72">
        <v>0</v>
      </c>
      <c r="S72">
        <v>0</v>
      </c>
      <c r="T72">
        <v>0</v>
      </c>
      <c r="U72">
        <v>0</v>
      </c>
      <c r="V72">
        <v>0</v>
      </c>
    </row>
    <row r="73" spans="1:22" x14ac:dyDescent="0.25">
      <c r="A73">
        <v>0</v>
      </c>
      <c r="B73">
        <v>0.216</v>
      </c>
      <c r="C73">
        <v>72</v>
      </c>
      <c r="D73">
        <v>0.58909999999999996</v>
      </c>
      <c r="E73">
        <v>0.78269999999999995</v>
      </c>
      <c r="F73">
        <v>0</v>
      </c>
      <c r="G73">
        <v>0.97962802000000004</v>
      </c>
      <c r="H73">
        <v>0.95131487999999997</v>
      </c>
      <c r="I73" s="2">
        <v>0</v>
      </c>
      <c r="J73">
        <v>0.92559999999999998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 s="2">
        <v>0</v>
      </c>
      <c r="R73">
        <v>0</v>
      </c>
      <c r="S73">
        <v>0</v>
      </c>
      <c r="T73">
        <v>0</v>
      </c>
      <c r="U73">
        <v>0</v>
      </c>
      <c r="V73">
        <v>0</v>
      </c>
    </row>
    <row r="74" spans="1:22" x14ac:dyDescent="0.25">
      <c r="A74">
        <v>0</v>
      </c>
      <c r="B74">
        <v>0.219</v>
      </c>
      <c r="C74">
        <v>73</v>
      </c>
      <c r="D74">
        <v>0.58909999999999996</v>
      </c>
      <c r="E74">
        <v>0.78269999999999995</v>
      </c>
      <c r="F74">
        <v>0</v>
      </c>
      <c r="G74">
        <v>0.97962802000000004</v>
      </c>
      <c r="H74">
        <v>0.95131487999999997</v>
      </c>
      <c r="I74" s="2">
        <v>0</v>
      </c>
      <c r="J74">
        <v>0.92559999999999998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 s="2">
        <v>0</v>
      </c>
      <c r="R74">
        <v>0</v>
      </c>
      <c r="S74">
        <v>0</v>
      </c>
      <c r="T74">
        <v>0</v>
      </c>
      <c r="U74">
        <v>0</v>
      </c>
      <c r="V74">
        <v>0</v>
      </c>
    </row>
    <row r="75" spans="1:22" x14ac:dyDescent="0.25">
      <c r="A75">
        <v>0</v>
      </c>
      <c r="B75">
        <v>0.222</v>
      </c>
      <c r="C75">
        <v>74</v>
      </c>
      <c r="D75">
        <v>0.58909999999999996</v>
      </c>
      <c r="E75">
        <v>0.78269999999999995</v>
      </c>
      <c r="F75">
        <v>0</v>
      </c>
      <c r="G75">
        <v>0.97962802000000004</v>
      </c>
      <c r="H75">
        <v>0.95131487999999997</v>
      </c>
      <c r="I75" s="2">
        <v>0</v>
      </c>
      <c r="J75">
        <v>0.92559999999999998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 s="2">
        <v>0</v>
      </c>
      <c r="R75">
        <v>0</v>
      </c>
      <c r="S75">
        <v>0</v>
      </c>
      <c r="T75">
        <v>0</v>
      </c>
      <c r="U75">
        <v>0</v>
      </c>
      <c r="V75">
        <v>0</v>
      </c>
    </row>
    <row r="76" spans="1:22" x14ac:dyDescent="0.25">
      <c r="A76">
        <v>0</v>
      </c>
      <c r="B76">
        <v>0.22500000000000001</v>
      </c>
      <c r="C76">
        <v>75</v>
      </c>
      <c r="D76">
        <v>0.58909999999999996</v>
      </c>
      <c r="E76">
        <v>0.78269999999999995</v>
      </c>
      <c r="F76">
        <v>0</v>
      </c>
      <c r="G76">
        <v>0.97962802000000004</v>
      </c>
      <c r="H76">
        <v>0.95131487999999997</v>
      </c>
      <c r="I76" s="2">
        <v>0</v>
      </c>
      <c r="J76">
        <v>0.92559999999999998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 s="2">
        <v>0</v>
      </c>
      <c r="R76">
        <v>0</v>
      </c>
      <c r="S76">
        <v>0</v>
      </c>
      <c r="T76">
        <v>0</v>
      </c>
      <c r="U76">
        <v>0</v>
      </c>
      <c r="V76">
        <v>0</v>
      </c>
    </row>
    <row r="77" spans="1:22" x14ac:dyDescent="0.25">
      <c r="A77">
        <v>0</v>
      </c>
      <c r="B77">
        <v>0.22800000000000001</v>
      </c>
      <c r="C77">
        <v>76</v>
      </c>
      <c r="D77">
        <v>0.58909999999999996</v>
      </c>
      <c r="E77">
        <v>0.78269999999999995</v>
      </c>
      <c r="F77">
        <v>0</v>
      </c>
      <c r="G77">
        <v>0.97962802000000004</v>
      </c>
      <c r="H77">
        <v>0.95131487999999997</v>
      </c>
      <c r="I77" s="2">
        <v>0</v>
      </c>
      <c r="J77">
        <v>0.92559999999999998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 s="2">
        <v>0</v>
      </c>
      <c r="R77">
        <v>0</v>
      </c>
      <c r="S77">
        <v>0</v>
      </c>
      <c r="T77">
        <v>0</v>
      </c>
      <c r="U77">
        <v>0</v>
      </c>
      <c r="V77">
        <v>0</v>
      </c>
    </row>
    <row r="78" spans="1:22" x14ac:dyDescent="0.25">
      <c r="A78">
        <v>0</v>
      </c>
      <c r="B78">
        <v>0.23100000000000001</v>
      </c>
      <c r="C78">
        <v>77</v>
      </c>
      <c r="D78">
        <v>0.58909999999999996</v>
      </c>
      <c r="E78">
        <v>0.78269999999999995</v>
      </c>
      <c r="F78">
        <v>0</v>
      </c>
      <c r="G78">
        <v>0.97962802000000004</v>
      </c>
      <c r="H78">
        <v>0.95131487999999997</v>
      </c>
      <c r="I78" s="2">
        <v>0</v>
      </c>
      <c r="J78">
        <v>0.92559999999999998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 s="2">
        <v>0</v>
      </c>
      <c r="R78">
        <v>0</v>
      </c>
      <c r="S78">
        <v>0</v>
      </c>
      <c r="T78">
        <v>0</v>
      </c>
      <c r="U78">
        <v>0</v>
      </c>
      <c r="V78">
        <v>0</v>
      </c>
    </row>
    <row r="79" spans="1:22" x14ac:dyDescent="0.25">
      <c r="A79">
        <v>0</v>
      </c>
      <c r="B79">
        <v>0.23400000000000001</v>
      </c>
      <c r="C79">
        <v>78</v>
      </c>
      <c r="D79">
        <v>0.58909999999999996</v>
      </c>
      <c r="E79">
        <v>0.78269999999999995</v>
      </c>
      <c r="F79">
        <v>0</v>
      </c>
      <c r="G79">
        <v>0.97962802000000004</v>
      </c>
      <c r="H79">
        <v>0.95131487999999997</v>
      </c>
      <c r="I79" s="2">
        <v>0</v>
      </c>
      <c r="J79">
        <v>0.92559999999999998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 s="2">
        <v>0</v>
      </c>
      <c r="R79">
        <v>0</v>
      </c>
      <c r="S79">
        <v>0</v>
      </c>
      <c r="T79">
        <v>0</v>
      </c>
      <c r="U79">
        <v>0</v>
      </c>
      <c r="V79">
        <v>0</v>
      </c>
    </row>
    <row r="80" spans="1:22" x14ac:dyDescent="0.25">
      <c r="A80">
        <v>0</v>
      </c>
      <c r="B80">
        <v>0.23699999999999999</v>
      </c>
      <c r="C80">
        <v>79</v>
      </c>
      <c r="D80">
        <v>0.58909999999999996</v>
      </c>
      <c r="E80">
        <v>0.78269999999999995</v>
      </c>
      <c r="F80">
        <v>0</v>
      </c>
      <c r="G80">
        <v>0.97962802000000004</v>
      </c>
      <c r="H80">
        <v>0.95131487999999997</v>
      </c>
      <c r="I80" s="2">
        <v>0</v>
      </c>
      <c r="J80">
        <v>0.92559999999999998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 s="2">
        <v>0</v>
      </c>
      <c r="R80">
        <v>0</v>
      </c>
      <c r="S80">
        <v>0</v>
      </c>
      <c r="T80">
        <v>0</v>
      </c>
      <c r="U80">
        <v>0</v>
      </c>
      <c r="V80">
        <v>0</v>
      </c>
    </row>
    <row r="81" spans="1:22" x14ac:dyDescent="0.25">
      <c r="A81">
        <v>0</v>
      </c>
      <c r="B81">
        <v>0.24</v>
      </c>
      <c r="C81">
        <v>80</v>
      </c>
      <c r="D81">
        <v>0.58909999999999996</v>
      </c>
      <c r="E81">
        <v>0.78269999999999995</v>
      </c>
      <c r="F81">
        <v>0</v>
      </c>
      <c r="G81">
        <v>0.97962802000000004</v>
      </c>
      <c r="H81">
        <v>0.95131487999999997</v>
      </c>
      <c r="I81" s="2">
        <v>0</v>
      </c>
      <c r="J81">
        <v>0.92559999999999998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 s="2">
        <v>0</v>
      </c>
      <c r="R81">
        <v>0</v>
      </c>
      <c r="S81">
        <v>0</v>
      </c>
      <c r="T81">
        <v>0</v>
      </c>
      <c r="U81">
        <v>0</v>
      </c>
      <c r="V81">
        <v>0</v>
      </c>
    </row>
    <row r="82" spans="1:22" x14ac:dyDescent="0.25">
      <c r="A82">
        <v>0</v>
      </c>
      <c r="B82">
        <v>0.24299999999999999</v>
      </c>
      <c r="C82">
        <v>81</v>
      </c>
      <c r="D82">
        <v>0.58909999999999996</v>
      </c>
      <c r="E82">
        <v>0.78269999999999995</v>
      </c>
      <c r="F82">
        <v>0</v>
      </c>
      <c r="G82">
        <v>0.97962802000000004</v>
      </c>
      <c r="H82">
        <v>0.95131487999999997</v>
      </c>
      <c r="I82" s="2">
        <v>0</v>
      </c>
      <c r="J82">
        <v>0.92559999999999998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 s="2">
        <v>0</v>
      </c>
      <c r="R82">
        <v>0</v>
      </c>
      <c r="S82">
        <v>0</v>
      </c>
      <c r="T82">
        <v>0</v>
      </c>
      <c r="U82">
        <v>0</v>
      </c>
      <c r="V82">
        <v>0</v>
      </c>
    </row>
    <row r="83" spans="1:22" x14ac:dyDescent="0.25">
      <c r="A83">
        <v>0</v>
      </c>
      <c r="B83">
        <v>0.246</v>
      </c>
      <c r="C83">
        <v>82</v>
      </c>
      <c r="D83">
        <v>0.58909999999999996</v>
      </c>
      <c r="E83">
        <v>0.78269999999999995</v>
      </c>
      <c r="F83">
        <v>0</v>
      </c>
      <c r="G83">
        <v>0.97962802000000004</v>
      </c>
      <c r="H83">
        <v>0.95131487999999997</v>
      </c>
      <c r="I83" s="2">
        <v>0</v>
      </c>
      <c r="J83">
        <v>0.92559999999999998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 s="2">
        <v>0</v>
      </c>
      <c r="R83">
        <v>0</v>
      </c>
      <c r="S83">
        <v>0</v>
      </c>
      <c r="T83">
        <v>0</v>
      </c>
      <c r="U83">
        <v>0</v>
      </c>
      <c r="V83">
        <v>0</v>
      </c>
    </row>
    <row r="84" spans="1:22" x14ac:dyDescent="0.25">
      <c r="A84">
        <v>0</v>
      </c>
      <c r="B84">
        <v>0.249</v>
      </c>
      <c r="C84">
        <v>83</v>
      </c>
      <c r="D84">
        <v>0.58909999999999996</v>
      </c>
      <c r="E84">
        <v>0.78269999999999995</v>
      </c>
      <c r="F84">
        <v>0</v>
      </c>
      <c r="G84">
        <v>0.97962802000000004</v>
      </c>
      <c r="H84">
        <v>0.95131487999999997</v>
      </c>
      <c r="I84" s="2">
        <v>0</v>
      </c>
      <c r="J84">
        <v>0.92559999999999998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 s="2">
        <v>0</v>
      </c>
      <c r="R84">
        <v>0</v>
      </c>
      <c r="S84">
        <v>0</v>
      </c>
      <c r="T84">
        <v>0</v>
      </c>
      <c r="U84">
        <v>0</v>
      </c>
      <c r="V84">
        <v>0</v>
      </c>
    </row>
    <row r="85" spans="1:22" x14ac:dyDescent="0.25">
      <c r="A85">
        <v>0</v>
      </c>
      <c r="B85">
        <v>0.252</v>
      </c>
      <c r="C85">
        <v>84</v>
      </c>
      <c r="D85">
        <v>0.58909999999999996</v>
      </c>
      <c r="E85">
        <v>0.78269999999999995</v>
      </c>
      <c r="F85">
        <v>0</v>
      </c>
      <c r="G85">
        <v>0.97962802000000004</v>
      </c>
      <c r="H85">
        <v>0.95131487999999997</v>
      </c>
      <c r="I85" s="2">
        <v>0</v>
      </c>
      <c r="J85">
        <v>0.92559999999999998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 s="2">
        <v>0</v>
      </c>
      <c r="R85">
        <v>0</v>
      </c>
      <c r="S85">
        <v>0</v>
      </c>
      <c r="T85">
        <v>0</v>
      </c>
      <c r="U85">
        <v>0</v>
      </c>
      <c r="V85">
        <v>0</v>
      </c>
    </row>
    <row r="86" spans="1:22" x14ac:dyDescent="0.25">
      <c r="A86">
        <v>0</v>
      </c>
      <c r="B86">
        <v>0.255</v>
      </c>
      <c r="C86">
        <v>85</v>
      </c>
      <c r="D86">
        <v>0.58909999999999996</v>
      </c>
      <c r="E86">
        <v>0.78269999999999995</v>
      </c>
      <c r="F86">
        <v>0</v>
      </c>
      <c r="G86">
        <v>0.97962802000000004</v>
      </c>
      <c r="H86">
        <v>0.95131487999999997</v>
      </c>
      <c r="I86" s="2">
        <v>0</v>
      </c>
      <c r="J86">
        <v>0.92559999999999998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 s="2">
        <v>0</v>
      </c>
      <c r="R86">
        <v>0</v>
      </c>
      <c r="S86">
        <v>0</v>
      </c>
      <c r="T86">
        <v>0</v>
      </c>
      <c r="U86">
        <v>0</v>
      </c>
      <c r="V86">
        <v>0</v>
      </c>
    </row>
    <row r="87" spans="1:22" x14ac:dyDescent="0.25">
      <c r="A87">
        <v>0</v>
      </c>
      <c r="B87">
        <v>0.25800000000000001</v>
      </c>
      <c r="C87">
        <v>86</v>
      </c>
      <c r="D87">
        <v>0.58909999999999996</v>
      </c>
      <c r="E87">
        <v>0.78269999999999995</v>
      </c>
      <c r="F87">
        <v>0</v>
      </c>
      <c r="G87">
        <v>0.97962802000000004</v>
      </c>
      <c r="H87">
        <v>0.95131487999999997</v>
      </c>
      <c r="I87" s="2">
        <v>0</v>
      </c>
      <c r="J87">
        <v>0.92559999999999998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 s="2">
        <v>0</v>
      </c>
      <c r="R87">
        <v>0</v>
      </c>
      <c r="S87">
        <v>0</v>
      </c>
      <c r="T87">
        <v>0</v>
      </c>
      <c r="U87">
        <v>0</v>
      </c>
      <c r="V87">
        <v>0</v>
      </c>
    </row>
    <row r="88" spans="1:22" x14ac:dyDescent="0.25">
      <c r="A88">
        <v>0</v>
      </c>
      <c r="B88">
        <v>0.26100000000000001</v>
      </c>
      <c r="C88">
        <v>87</v>
      </c>
      <c r="D88">
        <v>0.58909999999999996</v>
      </c>
      <c r="E88">
        <v>0.78269999999999995</v>
      </c>
      <c r="F88">
        <v>0</v>
      </c>
      <c r="G88">
        <v>0.97962802000000004</v>
      </c>
      <c r="H88">
        <v>0.95131487999999997</v>
      </c>
      <c r="I88" s="2">
        <v>0</v>
      </c>
      <c r="J88">
        <v>0.92559999999999998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 s="2">
        <v>0</v>
      </c>
      <c r="R88">
        <v>0</v>
      </c>
      <c r="S88">
        <v>0</v>
      </c>
      <c r="T88">
        <v>0</v>
      </c>
      <c r="U88">
        <v>0</v>
      </c>
      <c r="V88"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747C7-9C49-423E-988F-1262013428E9}">
  <dimension ref="A1:V88"/>
  <sheetViews>
    <sheetView topLeftCell="B31" workbookViewId="0">
      <selection activeCell="S20" sqref="S20"/>
    </sheetView>
  </sheetViews>
  <sheetFormatPr defaultRowHeight="15" x14ac:dyDescent="0.25"/>
  <cols>
    <col min="1" max="1" width="4.42578125" bestFit="1" customWidth="1"/>
    <col min="2" max="2" width="6" bestFit="1" customWidth="1"/>
    <col min="3" max="3" width="6.42578125" bestFit="1" customWidth="1"/>
    <col min="4" max="5" width="7.7109375" bestFit="1" customWidth="1"/>
    <col min="6" max="6" width="12.85546875" bestFit="1" customWidth="1"/>
    <col min="7" max="7" width="11" bestFit="1" customWidth="1"/>
    <col min="8" max="8" width="13.140625" bestFit="1" customWidth="1"/>
    <col min="9" max="9" width="10.5703125" style="2" bestFit="1" customWidth="1"/>
    <col min="10" max="10" width="8.28515625" bestFit="1" customWidth="1"/>
    <col min="11" max="12" width="9.42578125" bestFit="1" customWidth="1"/>
    <col min="13" max="13" width="8.42578125" bestFit="1" customWidth="1"/>
    <col min="14" max="15" width="11" bestFit="1" customWidth="1"/>
    <col min="16" max="16" width="11.7109375" bestFit="1" customWidth="1"/>
    <col min="17" max="18" width="8.5703125" bestFit="1" customWidth="1"/>
    <col min="19" max="19" width="11" bestFit="1" customWidth="1"/>
    <col min="20" max="21" width="11.7109375" bestFit="1" customWidth="1"/>
    <col min="22" max="22" width="14.42578125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2" t="s">
        <v>24</v>
      </c>
      <c r="J1" t="s">
        <v>18</v>
      </c>
      <c r="K1" t="s">
        <v>9</v>
      </c>
      <c r="L1" t="s">
        <v>10</v>
      </c>
      <c r="M1" t="s">
        <v>8</v>
      </c>
      <c r="N1" t="s">
        <v>27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23</v>
      </c>
    </row>
    <row r="2" spans="1:22" x14ac:dyDescent="0.25">
      <c r="A2">
        <v>1</v>
      </c>
      <c r="B2">
        <v>3.0000000000000001E-3</v>
      </c>
      <c r="C2">
        <v>1</v>
      </c>
      <c r="D2">
        <v>-1</v>
      </c>
      <c r="E2">
        <v>0</v>
      </c>
      <c r="F2">
        <v>0</v>
      </c>
      <c r="G2">
        <v>0</v>
      </c>
      <c r="H2">
        <v>0</v>
      </c>
      <c r="I2" s="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</row>
    <row r="3" spans="1:22" x14ac:dyDescent="0.25">
      <c r="A3">
        <v>1</v>
      </c>
      <c r="B3">
        <v>6.0000000000000001E-3</v>
      </c>
      <c r="C3">
        <v>2</v>
      </c>
      <c r="D3">
        <v>-1</v>
      </c>
      <c r="E3">
        <v>0</v>
      </c>
      <c r="F3">
        <v>0</v>
      </c>
      <c r="G3">
        <v>1</v>
      </c>
      <c r="H3">
        <v>0</v>
      </c>
      <c r="I3" s="2">
        <v>0</v>
      </c>
      <c r="J3">
        <v>3.1415999999999999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</row>
    <row r="4" spans="1:22" x14ac:dyDescent="0.25">
      <c r="A4">
        <v>1</v>
      </c>
      <c r="B4">
        <v>8.9999999999999993E-3</v>
      </c>
      <c r="C4">
        <v>3</v>
      </c>
      <c r="D4">
        <v>-1</v>
      </c>
      <c r="E4">
        <v>0</v>
      </c>
      <c r="F4">
        <v>0</v>
      </c>
      <c r="G4">
        <v>1</v>
      </c>
      <c r="H4">
        <v>0</v>
      </c>
      <c r="I4" s="2">
        <v>0</v>
      </c>
      <c r="J4">
        <v>3.1415999999999999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</row>
    <row r="5" spans="1:22" x14ac:dyDescent="0.25">
      <c r="A5">
        <v>1</v>
      </c>
      <c r="B5">
        <v>1.2E-2</v>
      </c>
      <c r="C5">
        <v>4</v>
      </c>
      <c r="D5">
        <v>-1</v>
      </c>
      <c r="E5">
        <v>0</v>
      </c>
      <c r="F5">
        <v>0</v>
      </c>
      <c r="G5">
        <v>1</v>
      </c>
      <c r="H5">
        <v>0</v>
      </c>
      <c r="I5" s="2">
        <v>0</v>
      </c>
      <c r="J5">
        <v>3.1415999999999999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</row>
    <row r="6" spans="1:22" x14ac:dyDescent="0.25">
      <c r="A6">
        <v>1</v>
      </c>
      <c r="B6">
        <v>1.4999999999999999E-2</v>
      </c>
      <c r="C6">
        <v>5</v>
      </c>
      <c r="D6">
        <v>-1</v>
      </c>
      <c r="E6">
        <v>0</v>
      </c>
      <c r="F6">
        <v>0</v>
      </c>
      <c r="G6">
        <v>1</v>
      </c>
      <c r="H6">
        <v>0</v>
      </c>
      <c r="I6" s="2">
        <v>0</v>
      </c>
      <c r="J6">
        <v>3.1415999999999999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</row>
    <row r="7" spans="1:22" x14ac:dyDescent="0.25">
      <c r="A7">
        <v>1</v>
      </c>
      <c r="B7">
        <v>1.7999999999999999E-2</v>
      </c>
      <c r="C7">
        <v>6</v>
      </c>
      <c r="D7">
        <v>-1</v>
      </c>
      <c r="E7">
        <v>0</v>
      </c>
      <c r="F7">
        <v>0</v>
      </c>
      <c r="G7">
        <v>1</v>
      </c>
      <c r="H7">
        <v>0</v>
      </c>
      <c r="I7" s="2">
        <v>0</v>
      </c>
      <c r="J7">
        <v>3.1415999999999999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</row>
    <row r="8" spans="1:22" x14ac:dyDescent="0.25">
      <c r="A8">
        <v>1</v>
      </c>
      <c r="B8">
        <v>2.1000000000000001E-2</v>
      </c>
      <c r="C8">
        <v>7</v>
      </c>
      <c r="D8">
        <v>-1</v>
      </c>
      <c r="E8">
        <v>0</v>
      </c>
      <c r="F8">
        <v>0</v>
      </c>
      <c r="G8">
        <v>1</v>
      </c>
      <c r="H8">
        <v>0</v>
      </c>
      <c r="I8" s="2">
        <v>0</v>
      </c>
      <c r="J8">
        <v>3.1415999999999999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</row>
    <row r="9" spans="1:22" x14ac:dyDescent="0.25">
      <c r="A9">
        <v>1</v>
      </c>
      <c r="B9">
        <v>2.4E-2</v>
      </c>
      <c r="C9">
        <v>8</v>
      </c>
      <c r="D9">
        <v>-1</v>
      </c>
      <c r="E9">
        <v>0</v>
      </c>
      <c r="F9">
        <v>0</v>
      </c>
      <c r="G9">
        <v>1</v>
      </c>
      <c r="H9">
        <v>0</v>
      </c>
      <c r="I9" s="2">
        <v>0</v>
      </c>
      <c r="J9">
        <v>3.1415999999999999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</row>
    <row r="10" spans="1:22" x14ac:dyDescent="0.25">
      <c r="A10">
        <v>1</v>
      </c>
      <c r="B10">
        <v>2.7E-2</v>
      </c>
      <c r="C10">
        <v>9</v>
      </c>
      <c r="D10">
        <v>-1</v>
      </c>
      <c r="E10">
        <v>0</v>
      </c>
      <c r="F10">
        <v>0</v>
      </c>
      <c r="G10">
        <v>1</v>
      </c>
      <c r="H10">
        <v>0</v>
      </c>
      <c r="I10" s="2">
        <v>0</v>
      </c>
      <c r="J10">
        <v>3.1415999999999999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</row>
    <row r="11" spans="1:22" x14ac:dyDescent="0.25">
      <c r="A11">
        <v>1</v>
      </c>
      <c r="B11">
        <v>0.03</v>
      </c>
      <c r="C11">
        <v>10</v>
      </c>
      <c r="D11">
        <v>-1</v>
      </c>
      <c r="E11">
        <v>0</v>
      </c>
      <c r="F11">
        <v>0</v>
      </c>
      <c r="G11">
        <v>1</v>
      </c>
      <c r="H11">
        <v>0</v>
      </c>
      <c r="I11" s="2">
        <v>0</v>
      </c>
      <c r="J11">
        <v>3.1415999999999999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</row>
    <row r="12" spans="1:22" x14ac:dyDescent="0.25">
      <c r="A12">
        <v>1</v>
      </c>
      <c r="B12">
        <v>3.3000000000000002E-2</v>
      </c>
      <c r="C12">
        <v>11</v>
      </c>
      <c r="D12">
        <v>-1</v>
      </c>
      <c r="E12">
        <v>0</v>
      </c>
      <c r="F12">
        <v>0</v>
      </c>
      <c r="G12">
        <v>1</v>
      </c>
      <c r="H12">
        <v>0</v>
      </c>
      <c r="I12" s="2">
        <v>0</v>
      </c>
      <c r="J12">
        <v>3.1415999999999999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</row>
    <row r="13" spans="1:22" x14ac:dyDescent="0.25">
      <c r="A13">
        <v>1</v>
      </c>
      <c r="B13">
        <v>3.5999999999999997E-2</v>
      </c>
      <c r="C13">
        <v>12</v>
      </c>
      <c r="D13">
        <v>-1</v>
      </c>
      <c r="E13">
        <v>0</v>
      </c>
      <c r="F13">
        <v>0</v>
      </c>
      <c r="G13">
        <v>1</v>
      </c>
      <c r="H13">
        <v>0</v>
      </c>
      <c r="I13" s="2">
        <v>0</v>
      </c>
      <c r="J13">
        <v>3.1415999999999999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>
        <v>1</v>
      </c>
      <c r="B14">
        <v>3.9E-2</v>
      </c>
      <c r="C14">
        <v>13</v>
      </c>
      <c r="D14">
        <v>-1</v>
      </c>
      <c r="E14">
        <v>0</v>
      </c>
      <c r="F14">
        <v>0</v>
      </c>
      <c r="G14">
        <v>1</v>
      </c>
      <c r="H14">
        <v>0</v>
      </c>
      <c r="I14" s="2">
        <v>0</v>
      </c>
      <c r="J14">
        <v>3.1415999999999999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>
        <v>1</v>
      </c>
      <c r="B15">
        <v>4.2000000000000003E-2</v>
      </c>
      <c r="C15">
        <v>14</v>
      </c>
      <c r="D15">
        <v>-1</v>
      </c>
      <c r="E15">
        <v>0</v>
      </c>
      <c r="F15">
        <v>0</v>
      </c>
      <c r="G15">
        <v>1</v>
      </c>
      <c r="H15">
        <v>0</v>
      </c>
      <c r="I15" s="2">
        <v>0</v>
      </c>
      <c r="J15">
        <v>3.1415999999999999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</row>
    <row r="16" spans="1:22" x14ac:dyDescent="0.25">
      <c r="A16">
        <v>1</v>
      </c>
      <c r="B16">
        <v>4.4999999999999998E-2</v>
      </c>
      <c r="C16">
        <v>15</v>
      </c>
      <c r="D16">
        <v>-1</v>
      </c>
      <c r="E16">
        <v>0</v>
      </c>
      <c r="F16">
        <v>0</v>
      </c>
      <c r="G16">
        <v>1</v>
      </c>
      <c r="H16">
        <v>0</v>
      </c>
      <c r="I16" s="2">
        <v>0</v>
      </c>
      <c r="J16">
        <v>3.1415999999999999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</row>
    <row r="17" spans="1:22" x14ac:dyDescent="0.25">
      <c r="A17">
        <v>1</v>
      </c>
      <c r="B17">
        <v>4.8000000000000001E-2</v>
      </c>
      <c r="C17">
        <v>16</v>
      </c>
      <c r="D17">
        <v>-1</v>
      </c>
      <c r="E17">
        <v>0</v>
      </c>
      <c r="F17">
        <v>0</v>
      </c>
      <c r="G17">
        <v>1</v>
      </c>
      <c r="H17">
        <v>0</v>
      </c>
      <c r="I17" s="2">
        <v>0</v>
      </c>
      <c r="J17">
        <v>3.1415999999999999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</row>
    <row r="18" spans="1:22" x14ac:dyDescent="0.25">
      <c r="A18">
        <v>1</v>
      </c>
      <c r="B18">
        <v>5.0999999999999997E-2</v>
      </c>
      <c r="C18">
        <v>17</v>
      </c>
      <c r="D18">
        <v>-1</v>
      </c>
      <c r="E18">
        <v>0</v>
      </c>
      <c r="F18">
        <v>0</v>
      </c>
      <c r="G18">
        <v>1</v>
      </c>
      <c r="H18">
        <v>0</v>
      </c>
      <c r="I18" s="2">
        <v>0</v>
      </c>
      <c r="J18">
        <v>3.1415999999999999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>
        <v>1</v>
      </c>
      <c r="B19">
        <v>5.3999999999999999E-2</v>
      </c>
      <c r="C19">
        <v>18</v>
      </c>
      <c r="D19">
        <v>-1</v>
      </c>
      <c r="E19">
        <v>0</v>
      </c>
      <c r="F19">
        <v>0</v>
      </c>
      <c r="G19">
        <v>1</v>
      </c>
      <c r="H19">
        <v>0</v>
      </c>
      <c r="I19" s="2">
        <v>0</v>
      </c>
      <c r="J19">
        <v>3.1415999999999999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</row>
    <row r="20" spans="1:22" x14ac:dyDescent="0.25">
      <c r="A20">
        <v>1</v>
      </c>
      <c r="B20">
        <v>5.7000000000000002E-2</v>
      </c>
      <c r="C20">
        <v>19</v>
      </c>
      <c r="D20">
        <v>-1</v>
      </c>
      <c r="E20">
        <v>0</v>
      </c>
      <c r="F20">
        <v>1.0503E-4</v>
      </c>
      <c r="G20">
        <v>1</v>
      </c>
      <c r="H20">
        <v>1</v>
      </c>
      <c r="I20" s="2">
        <v>2.0000000000000001E-4</v>
      </c>
      <c r="J20">
        <v>3.1415999999999999</v>
      </c>
      <c r="K20">
        <v>0</v>
      </c>
      <c r="L20">
        <v>0</v>
      </c>
      <c r="M20">
        <v>0</v>
      </c>
      <c r="N20">
        <v>2.0619999999999999E-5</v>
      </c>
      <c r="O20">
        <v>2.0619999999999999E-5</v>
      </c>
      <c r="P20">
        <v>2.0619999999999999E-5</v>
      </c>
      <c r="Q20">
        <v>-1.95</v>
      </c>
      <c r="R20">
        <v>-0.05</v>
      </c>
      <c r="S20">
        <v>1.9506409199999999</v>
      </c>
      <c r="T20">
        <v>1.2099000000000001E-4</v>
      </c>
      <c r="U20">
        <v>-1.6532999999999999E-4</v>
      </c>
      <c r="V20">
        <v>0</v>
      </c>
    </row>
    <row r="21" spans="1:22" x14ac:dyDescent="0.25">
      <c r="A21">
        <v>1</v>
      </c>
      <c r="B21">
        <v>0.06</v>
      </c>
      <c r="C21">
        <v>20</v>
      </c>
      <c r="D21">
        <v>-0.99990000000000001</v>
      </c>
      <c r="E21">
        <v>-2.0000000000000001E-4</v>
      </c>
      <c r="F21">
        <v>9.544E-4</v>
      </c>
      <c r="G21">
        <v>0.99987903</v>
      </c>
      <c r="H21">
        <v>1</v>
      </c>
      <c r="I21" s="2">
        <v>2.0999999999999999E-3</v>
      </c>
      <c r="J21">
        <v>3.1417999999999999</v>
      </c>
      <c r="K21">
        <v>0</v>
      </c>
      <c r="L21">
        <v>0</v>
      </c>
      <c r="M21">
        <v>0</v>
      </c>
      <c r="N21">
        <v>2.0802E-4</v>
      </c>
      <c r="O21">
        <v>1.874E-4</v>
      </c>
      <c r="P21">
        <v>1.6677E-4</v>
      </c>
      <c r="Q21">
        <v>-1.95</v>
      </c>
      <c r="R21">
        <v>-0.05</v>
      </c>
      <c r="S21">
        <v>1.9506409199999999</v>
      </c>
      <c r="T21">
        <v>1.08482E-3</v>
      </c>
      <c r="U21">
        <v>-1.51296E-3</v>
      </c>
      <c r="V21">
        <v>0</v>
      </c>
    </row>
    <row r="22" spans="1:22" x14ac:dyDescent="0.25">
      <c r="A22">
        <v>1</v>
      </c>
      <c r="B22">
        <v>6.3E-2</v>
      </c>
      <c r="C22">
        <v>21</v>
      </c>
      <c r="D22">
        <v>-0.99880000000000002</v>
      </c>
      <c r="E22">
        <v>-1.6999999999999999E-3</v>
      </c>
      <c r="F22">
        <v>2.2203800000000001E-3</v>
      </c>
      <c r="G22">
        <v>0.99879560000000001</v>
      </c>
      <c r="H22">
        <v>1</v>
      </c>
      <c r="I22" s="2">
        <v>6.4000000000000003E-3</v>
      </c>
      <c r="J22">
        <v>3.1433</v>
      </c>
      <c r="K22">
        <v>0</v>
      </c>
      <c r="L22">
        <v>0</v>
      </c>
      <c r="M22">
        <v>0</v>
      </c>
      <c r="N22">
        <v>6.4398999999999999E-4</v>
      </c>
      <c r="O22">
        <v>4.3596999999999999E-4</v>
      </c>
      <c r="P22">
        <v>2.4856999999999999E-4</v>
      </c>
      <c r="Q22">
        <v>-1.95</v>
      </c>
      <c r="R22">
        <v>-0.05</v>
      </c>
      <c r="S22">
        <v>1.9506409199999999</v>
      </c>
      <c r="T22">
        <v>2.4890699999999999E-3</v>
      </c>
      <c r="U22">
        <v>-3.5444999999999999E-3</v>
      </c>
      <c r="V22">
        <v>0</v>
      </c>
    </row>
    <row r="23" spans="1:22" x14ac:dyDescent="0.25">
      <c r="A23">
        <v>1</v>
      </c>
      <c r="B23">
        <v>6.6000000000000003E-2</v>
      </c>
      <c r="C23">
        <v>22</v>
      </c>
      <c r="D23">
        <v>-0.99629999999999996</v>
      </c>
      <c r="E23">
        <v>-5.1999999999999998E-3</v>
      </c>
      <c r="F23">
        <v>3.7574399999999999E-3</v>
      </c>
      <c r="G23">
        <v>0.99631882000000005</v>
      </c>
      <c r="H23">
        <v>1</v>
      </c>
      <c r="I23" s="2">
        <v>1.37E-2</v>
      </c>
      <c r="J23">
        <v>3.1467999999999998</v>
      </c>
      <c r="K23">
        <v>0</v>
      </c>
      <c r="L23">
        <v>0</v>
      </c>
      <c r="M23">
        <v>0</v>
      </c>
      <c r="N23">
        <v>1.3817600000000001E-3</v>
      </c>
      <c r="O23">
        <v>7.3777000000000001E-4</v>
      </c>
      <c r="P23">
        <v>3.0180000000000002E-4</v>
      </c>
      <c r="Q23">
        <v>-1.95</v>
      </c>
      <c r="R23">
        <v>-0.05</v>
      </c>
      <c r="S23">
        <v>1.9506409199999999</v>
      </c>
      <c r="T23">
        <v>4.1521800000000001E-3</v>
      </c>
      <c r="U23">
        <v>-6.0398500000000003E-3</v>
      </c>
      <c r="V23">
        <v>0</v>
      </c>
    </row>
    <row r="24" spans="1:22" x14ac:dyDescent="0.25">
      <c r="A24">
        <v>1</v>
      </c>
      <c r="B24">
        <v>6.9000000000000006E-2</v>
      </c>
      <c r="C24">
        <v>23</v>
      </c>
      <c r="D24">
        <v>-0.99219999999999997</v>
      </c>
      <c r="E24">
        <v>-1.1299999999999999E-2</v>
      </c>
      <c r="F24">
        <v>5.4846000000000001E-3</v>
      </c>
      <c r="G24">
        <v>0.99221687000000003</v>
      </c>
      <c r="H24">
        <v>1</v>
      </c>
      <c r="I24" s="2">
        <v>2.4400000000000002E-2</v>
      </c>
      <c r="J24">
        <v>3.1528999999999998</v>
      </c>
      <c r="K24">
        <v>0</v>
      </c>
      <c r="L24">
        <v>0</v>
      </c>
      <c r="M24">
        <v>0</v>
      </c>
      <c r="N24">
        <v>2.4586600000000001E-3</v>
      </c>
      <c r="O24">
        <v>1.0769E-3</v>
      </c>
      <c r="P24">
        <v>3.3912999999999999E-4</v>
      </c>
      <c r="Q24">
        <v>-1.95</v>
      </c>
      <c r="R24">
        <v>-0.05</v>
      </c>
      <c r="S24">
        <v>1.9506409199999999</v>
      </c>
      <c r="T24">
        <v>5.9715300000000001E-3</v>
      </c>
      <c r="U24">
        <v>-8.8768500000000004E-3</v>
      </c>
      <c r="V24">
        <v>0</v>
      </c>
    </row>
    <row r="25" spans="1:22" x14ac:dyDescent="0.25">
      <c r="A25">
        <v>1</v>
      </c>
      <c r="B25">
        <v>7.1999999999999995E-2</v>
      </c>
      <c r="C25">
        <v>24</v>
      </c>
      <c r="D25">
        <v>-0.98619999999999997</v>
      </c>
      <c r="E25">
        <v>-2.01E-2</v>
      </c>
      <c r="F25">
        <v>7.3392800000000001E-3</v>
      </c>
      <c r="G25">
        <v>0.98638703999999999</v>
      </c>
      <c r="H25">
        <v>1</v>
      </c>
      <c r="I25" s="2">
        <v>3.8699999999999998E-2</v>
      </c>
      <c r="J25">
        <v>3.1619999999999999</v>
      </c>
      <c r="K25">
        <v>0</v>
      </c>
      <c r="L25">
        <v>0</v>
      </c>
      <c r="M25">
        <v>0</v>
      </c>
      <c r="N25">
        <v>3.8997200000000002E-3</v>
      </c>
      <c r="O25">
        <v>1.4410600000000001E-3</v>
      </c>
      <c r="P25">
        <v>3.6416999999999998E-4</v>
      </c>
      <c r="Q25">
        <v>-1.95</v>
      </c>
      <c r="R25">
        <v>-0.05</v>
      </c>
      <c r="S25">
        <v>1.9506409199999999</v>
      </c>
      <c r="T25">
        <v>7.8691100000000003E-3</v>
      </c>
      <c r="U25">
        <v>-1.195967E-2</v>
      </c>
      <c r="V25">
        <v>0</v>
      </c>
    </row>
    <row r="26" spans="1:22" x14ac:dyDescent="0.25">
      <c r="A26">
        <v>1</v>
      </c>
      <c r="B26">
        <v>7.4999999999999997E-2</v>
      </c>
      <c r="C26">
        <v>25</v>
      </c>
      <c r="D26">
        <v>-0.97829999999999995</v>
      </c>
      <c r="E26">
        <v>-3.2099999999999997E-2</v>
      </c>
      <c r="F26">
        <v>9.2663799999999994E-3</v>
      </c>
      <c r="G26">
        <v>0.97883876999999997</v>
      </c>
      <c r="H26">
        <v>1</v>
      </c>
      <c r="I26" s="2">
        <v>5.6800000000000003E-2</v>
      </c>
      <c r="J26">
        <v>3.1743999999999999</v>
      </c>
      <c r="K26">
        <v>0</v>
      </c>
      <c r="L26">
        <v>0</v>
      </c>
      <c r="M26">
        <v>0</v>
      </c>
      <c r="N26">
        <v>5.71917E-3</v>
      </c>
      <c r="O26">
        <v>1.81945E-3</v>
      </c>
      <c r="P26">
        <v>3.7837999999999999E-4</v>
      </c>
      <c r="Q26">
        <v>-1.95</v>
      </c>
      <c r="R26">
        <v>-0.05</v>
      </c>
      <c r="S26">
        <v>1.9506409199999999</v>
      </c>
      <c r="T26">
        <v>9.7786799999999997E-3</v>
      </c>
      <c r="U26">
        <v>-1.5201859999999999E-2</v>
      </c>
      <c r="V26">
        <v>0</v>
      </c>
    </row>
    <row r="27" spans="1:22" x14ac:dyDescent="0.25">
      <c r="A27">
        <v>1</v>
      </c>
      <c r="B27">
        <v>7.8E-2</v>
      </c>
      <c r="C27">
        <v>26</v>
      </c>
      <c r="D27">
        <v>-0.96850000000000003</v>
      </c>
      <c r="E27">
        <v>-4.7300000000000002E-2</v>
      </c>
      <c r="F27">
        <v>1.1214429999999999E-2</v>
      </c>
      <c r="G27">
        <v>0.96968798</v>
      </c>
      <c r="H27">
        <v>1</v>
      </c>
      <c r="I27" s="2">
        <v>7.8700000000000006E-2</v>
      </c>
      <c r="J27">
        <v>3.1903999999999999</v>
      </c>
      <c r="K27">
        <v>0</v>
      </c>
      <c r="L27">
        <v>0</v>
      </c>
      <c r="M27">
        <v>0</v>
      </c>
      <c r="N27">
        <v>7.9211200000000002E-3</v>
      </c>
      <c r="O27">
        <v>2.2019499999999998E-3</v>
      </c>
      <c r="P27">
        <v>3.8249999999999997E-4</v>
      </c>
      <c r="Q27">
        <v>-1.95</v>
      </c>
      <c r="R27">
        <v>-0.05</v>
      </c>
      <c r="S27">
        <v>1.9506409199999999</v>
      </c>
      <c r="T27">
        <v>1.164139E-2</v>
      </c>
      <c r="U27">
        <v>-1.8520470000000001E-2</v>
      </c>
      <c r="V27">
        <v>0</v>
      </c>
    </row>
    <row r="28" spans="1:22" x14ac:dyDescent="0.25">
      <c r="A28">
        <v>1</v>
      </c>
      <c r="B28">
        <v>8.1000000000000003E-2</v>
      </c>
      <c r="C28">
        <v>27</v>
      </c>
      <c r="D28">
        <v>-0.95689999999999997</v>
      </c>
      <c r="E28">
        <v>-6.5799999999999997E-2</v>
      </c>
      <c r="F28">
        <v>1.31343E-2</v>
      </c>
      <c r="G28">
        <v>0.95915340000000004</v>
      </c>
      <c r="H28">
        <v>1</v>
      </c>
      <c r="I28" s="2">
        <v>0.1043</v>
      </c>
      <c r="J28">
        <v>3.2103000000000002</v>
      </c>
      <c r="K28">
        <v>0</v>
      </c>
      <c r="L28">
        <v>0</v>
      </c>
      <c r="M28">
        <v>0</v>
      </c>
      <c r="N28">
        <v>1.050003E-2</v>
      </c>
      <c r="O28">
        <v>2.5789099999999998E-3</v>
      </c>
      <c r="P28">
        <v>3.7697000000000002E-4</v>
      </c>
      <c r="Q28">
        <v>-1.95</v>
      </c>
      <c r="R28">
        <v>-0.05</v>
      </c>
      <c r="S28">
        <v>1.9506409199999999</v>
      </c>
      <c r="T28">
        <v>1.3404289999999999E-2</v>
      </c>
      <c r="U28">
        <v>-2.1834039999999999E-2</v>
      </c>
      <c r="V28">
        <v>0</v>
      </c>
    </row>
    <row r="29" spans="1:22" x14ac:dyDescent="0.25">
      <c r="A29">
        <v>1</v>
      </c>
      <c r="B29">
        <v>8.4000000000000005E-2</v>
      </c>
      <c r="C29">
        <v>28</v>
      </c>
      <c r="D29">
        <v>-0.94350000000000001</v>
      </c>
      <c r="E29">
        <v>-8.77E-2</v>
      </c>
      <c r="F29">
        <v>1.4978969999999999E-2</v>
      </c>
      <c r="G29">
        <v>0.94755106</v>
      </c>
      <c r="H29">
        <v>1</v>
      </c>
      <c r="I29" s="2">
        <v>0.13350000000000001</v>
      </c>
      <c r="J29">
        <v>3.2342</v>
      </c>
      <c r="K29">
        <v>0</v>
      </c>
      <c r="L29">
        <v>0</v>
      </c>
      <c r="M29">
        <v>0</v>
      </c>
      <c r="N29">
        <v>1.3441150000000001E-2</v>
      </c>
      <c r="O29">
        <v>2.9411099999999998E-3</v>
      </c>
      <c r="P29">
        <v>3.6220000000000002E-4</v>
      </c>
      <c r="Q29">
        <v>-1.95</v>
      </c>
      <c r="R29">
        <v>-0.05</v>
      </c>
      <c r="S29">
        <v>1.9506409199999999</v>
      </c>
      <c r="T29">
        <v>1.502012E-2</v>
      </c>
      <c r="U29">
        <v>-2.506237E-2</v>
      </c>
      <c r="V29">
        <v>0</v>
      </c>
    </row>
    <row r="30" spans="1:22" x14ac:dyDescent="0.25">
      <c r="A30">
        <v>1</v>
      </c>
      <c r="B30">
        <v>8.6999999999999994E-2</v>
      </c>
      <c r="C30">
        <v>29</v>
      </c>
      <c r="D30">
        <v>-0.92849999999999999</v>
      </c>
      <c r="E30">
        <v>-0.11269999999999999</v>
      </c>
      <c r="F30">
        <v>1.6703840000000001E-2</v>
      </c>
      <c r="G30">
        <v>0.93528489999999997</v>
      </c>
      <c r="H30">
        <v>1</v>
      </c>
      <c r="I30" s="2">
        <v>0.1661</v>
      </c>
      <c r="J30">
        <v>3.2624</v>
      </c>
      <c r="K30">
        <v>0</v>
      </c>
      <c r="L30">
        <v>0</v>
      </c>
      <c r="M30">
        <v>0</v>
      </c>
      <c r="N30">
        <v>1.672094E-2</v>
      </c>
      <c r="O30">
        <v>3.2797899999999999E-3</v>
      </c>
      <c r="P30">
        <v>3.3868E-4</v>
      </c>
      <c r="Q30">
        <v>-1.95</v>
      </c>
      <c r="R30">
        <v>-0.05</v>
      </c>
      <c r="S30">
        <v>1.9506409199999999</v>
      </c>
      <c r="T30">
        <v>1.644758E-2</v>
      </c>
      <c r="U30">
        <v>-2.8127240000000001E-2</v>
      </c>
      <c r="V30">
        <v>0</v>
      </c>
    </row>
    <row r="31" spans="1:22" x14ac:dyDescent="0.25">
      <c r="A31">
        <v>1</v>
      </c>
      <c r="B31">
        <v>0.09</v>
      </c>
      <c r="C31">
        <v>30</v>
      </c>
      <c r="D31">
        <v>-0.91200000000000003</v>
      </c>
      <c r="E31">
        <v>-0.14080000000000001</v>
      </c>
      <c r="F31">
        <v>1.82674E-2</v>
      </c>
      <c r="G31">
        <v>0.92283168000000004</v>
      </c>
      <c r="H31">
        <v>1</v>
      </c>
      <c r="I31" s="2">
        <v>0.20169999999999999</v>
      </c>
      <c r="J31">
        <v>3.2948</v>
      </c>
      <c r="K31">
        <v>0</v>
      </c>
      <c r="L31">
        <v>0</v>
      </c>
      <c r="M31">
        <v>0</v>
      </c>
      <c r="N31">
        <v>2.0307740000000001E-2</v>
      </c>
      <c r="O31">
        <v>3.5867999999999998E-3</v>
      </c>
      <c r="P31">
        <v>3.0699999999999998E-4</v>
      </c>
      <c r="Q31">
        <v>-1.95</v>
      </c>
      <c r="R31">
        <v>-0.05</v>
      </c>
      <c r="S31">
        <v>1.9506409199999999</v>
      </c>
      <c r="T31">
        <v>1.7651900000000002E-2</v>
      </c>
      <c r="U31">
        <v>-3.0953700000000001E-2</v>
      </c>
      <c r="V31">
        <v>0</v>
      </c>
    </row>
    <row r="32" spans="1:22" x14ac:dyDescent="0.25">
      <c r="A32">
        <v>1</v>
      </c>
      <c r="B32">
        <v>9.2999999999999999E-2</v>
      </c>
      <c r="C32">
        <v>31</v>
      </c>
      <c r="D32">
        <v>-0.89439999999999997</v>
      </c>
      <c r="E32">
        <v>-0.17180000000000001</v>
      </c>
      <c r="F32">
        <v>1.963202E-2</v>
      </c>
      <c r="G32">
        <v>0.91071928000000002</v>
      </c>
      <c r="H32">
        <v>1</v>
      </c>
      <c r="I32" s="2">
        <v>0.24</v>
      </c>
      <c r="J32">
        <v>3.3313999999999999</v>
      </c>
      <c r="K32">
        <v>0</v>
      </c>
      <c r="L32">
        <v>0</v>
      </c>
      <c r="M32">
        <v>0</v>
      </c>
      <c r="N32">
        <v>2.4162469999999998E-2</v>
      </c>
      <c r="O32">
        <v>3.8547400000000002E-3</v>
      </c>
      <c r="P32">
        <v>2.6793999999999999E-4</v>
      </c>
      <c r="Q32">
        <v>-1.95</v>
      </c>
      <c r="R32">
        <v>-0.05</v>
      </c>
      <c r="S32">
        <v>1.9506409199999999</v>
      </c>
      <c r="T32">
        <v>1.8605400000000001E-2</v>
      </c>
      <c r="U32">
        <v>-3.3471590000000002E-2</v>
      </c>
      <c r="V32">
        <v>0</v>
      </c>
    </row>
    <row r="33" spans="1:22" x14ac:dyDescent="0.25">
      <c r="A33">
        <v>1</v>
      </c>
      <c r="B33">
        <v>9.6000000000000002E-2</v>
      </c>
      <c r="C33">
        <v>32</v>
      </c>
      <c r="D33">
        <v>-0.87580000000000002</v>
      </c>
      <c r="E33">
        <v>-0.20530000000000001</v>
      </c>
      <c r="F33">
        <v>2.0764749999999998E-2</v>
      </c>
      <c r="G33">
        <v>0.89949802999999995</v>
      </c>
      <c r="H33">
        <v>1</v>
      </c>
      <c r="I33" s="2">
        <v>0.28050000000000003</v>
      </c>
      <c r="J33">
        <v>3.3717999999999999</v>
      </c>
      <c r="K33">
        <v>0</v>
      </c>
      <c r="L33">
        <v>0</v>
      </c>
      <c r="M33">
        <v>0</v>
      </c>
      <c r="N33">
        <v>2.823962E-2</v>
      </c>
      <c r="O33">
        <v>4.0771499999999999E-3</v>
      </c>
      <c r="P33">
        <v>2.2241000000000001E-4</v>
      </c>
      <c r="Q33">
        <v>-1.95</v>
      </c>
      <c r="R33">
        <v>-0.05</v>
      </c>
      <c r="S33">
        <v>1.9506409199999999</v>
      </c>
      <c r="T33">
        <v>1.9288030000000001E-2</v>
      </c>
      <c r="U33">
        <v>-3.5617299999999998E-2</v>
      </c>
      <c r="V33">
        <v>0</v>
      </c>
    </row>
    <row r="34" spans="1:22" x14ac:dyDescent="0.25">
      <c r="A34">
        <v>1</v>
      </c>
      <c r="B34">
        <v>9.9000000000000005E-2</v>
      </c>
      <c r="C34">
        <v>33</v>
      </c>
      <c r="D34">
        <v>-0.85650000000000004</v>
      </c>
      <c r="E34">
        <v>-0.2409</v>
      </c>
      <c r="F34">
        <v>2.1638149999999998E-2</v>
      </c>
      <c r="G34">
        <v>0.88970568000000005</v>
      </c>
      <c r="H34">
        <v>1</v>
      </c>
      <c r="I34" s="2">
        <v>0.32279999999999998</v>
      </c>
      <c r="J34">
        <v>3.4157999999999999</v>
      </c>
      <c r="K34">
        <v>0</v>
      </c>
      <c r="L34">
        <v>0</v>
      </c>
      <c r="M34">
        <v>0</v>
      </c>
      <c r="N34">
        <v>3.2488259999999998E-2</v>
      </c>
      <c r="O34">
        <v>4.2486399999999997E-3</v>
      </c>
      <c r="P34">
        <v>1.7149E-4</v>
      </c>
      <c r="Q34">
        <v>-1.95</v>
      </c>
      <c r="R34">
        <v>-0.05</v>
      </c>
      <c r="S34">
        <v>1.9506409199999999</v>
      </c>
      <c r="T34">
        <v>1.9687639999999999E-2</v>
      </c>
      <c r="U34">
        <v>-3.7335430000000003E-2</v>
      </c>
      <c r="V34">
        <v>0</v>
      </c>
    </row>
    <row r="35" spans="1:22" x14ac:dyDescent="0.25">
      <c r="A35">
        <v>1</v>
      </c>
      <c r="B35">
        <v>0.10199999999999999</v>
      </c>
      <c r="C35">
        <v>34</v>
      </c>
      <c r="D35">
        <v>-0.83679999999999999</v>
      </c>
      <c r="E35">
        <v>-0.2782</v>
      </c>
      <c r="F35">
        <v>2.2231000000000001E-2</v>
      </c>
      <c r="G35">
        <v>0.88182826000000003</v>
      </c>
      <c r="H35">
        <v>1</v>
      </c>
      <c r="I35" s="2">
        <v>0.36609999999999998</v>
      </c>
      <c r="J35">
        <v>3.4626000000000001</v>
      </c>
      <c r="K35">
        <v>0</v>
      </c>
      <c r="L35">
        <v>0</v>
      </c>
      <c r="M35">
        <v>0</v>
      </c>
      <c r="N35">
        <v>3.685331E-2</v>
      </c>
      <c r="O35">
        <v>4.3650499999999997E-3</v>
      </c>
      <c r="P35">
        <v>1.1641000000000001E-4</v>
      </c>
      <c r="Q35">
        <v>-1.95</v>
      </c>
      <c r="R35">
        <v>-0.05</v>
      </c>
      <c r="S35">
        <v>1.9506409199999999</v>
      </c>
      <c r="T35">
        <v>1.9800169999999999E-2</v>
      </c>
      <c r="U35">
        <v>-3.8580440000000001E-2</v>
      </c>
      <c r="V35">
        <v>0</v>
      </c>
    </row>
    <row r="36" spans="1:22" x14ac:dyDescent="0.25">
      <c r="A36">
        <v>1</v>
      </c>
      <c r="B36">
        <v>0.105</v>
      </c>
      <c r="C36">
        <v>35</v>
      </c>
      <c r="D36">
        <v>-0.81699999999999995</v>
      </c>
      <c r="E36">
        <v>-0.31680000000000003</v>
      </c>
      <c r="F36">
        <v>2.2528840000000001E-2</v>
      </c>
      <c r="G36">
        <v>0.8762605</v>
      </c>
      <c r="H36">
        <v>1</v>
      </c>
      <c r="I36" s="2">
        <v>0.41010000000000002</v>
      </c>
      <c r="J36">
        <v>3.5114999999999998</v>
      </c>
      <c r="K36">
        <v>0</v>
      </c>
      <c r="L36">
        <v>0</v>
      </c>
      <c r="M36">
        <v>0</v>
      </c>
      <c r="N36">
        <v>4.1276840000000002E-2</v>
      </c>
      <c r="O36">
        <v>4.4235300000000002E-3</v>
      </c>
      <c r="P36">
        <v>5.8480000000000003E-5</v>
      </c>
      <c r="Q36">
        <v>-1.95</v>
      </c>
      <c r="R36">
        <v>-0.05</v>
      </c>
      <c r="S36">
        <v>1.9506409199999999</v>
      </c>
      <c r="T36">
        <v>1.962947E-2</v>
      </c>
      <c r="U36">
        <v>-3.931801E-2</v>
      </c>
      <c r="V36">
        <v>0</v>
      </c>
    </row>
    <row r="37" spans="1:22" x14ac:dyDescent="0.25">
      <c r="A37">
        <v>1</v>
      </c>
      <c r="B37">
        <v>0.108</v>
      </c>
      <c r="C37">
        <v>36</v>
      </c>
      <c r="D37">
        <v>-0.7974</v>
      </c>
      <c r="E37">
        <v>-0.35610000000000003</v>
      </c>
      <c r="F37">
        <v>2.2524389999999998E-2</v>
      </c>
      <c r="G37">
        <v>0.87327076000000003</v>
      </c>
      <c r="H37">
        <v>1</v>
      </c>
      <c r="I37" s="2">
        <v>0.36609999999999998</v>
      </c>
      <c r="J37">
        <v>3.5615999999999999</v>
      </c>
      <c r="K37">
        <v>0</v>
      </c>
      <c r="L37">
        <v>0</v>
      </c>
      <c r="M37">
        <v>0</v>
      </c>
      <c r="N37">
        <v>4.5699490000000002E-2</v>
      </c>
      <c r="O37">
        <v>4.4226500000000002E-3</v>
      </c>
      <c r="P37">
        <v>-8.7000000000000003E-7</v>
      </c>
      <c r="Q37">
        <v>-1.95</v>
      </c>
      <c r="R37">
        <v>-0.05</v>
      </c>
      <c r="S37">
        <v>1.9506409199999999</v>
      </c>
      <c r="T37">
        <v>1.9186999999999999E-2</v>
      </c>
      <c r="U37">
        <v>-3.9526180000000001E-2</v>
      </c>
      <c r="V37">
        <v>0</v>
      </c>
    </row>
    <row r="38" spans="1:22" x14ac:dyDescent="0.25">
      <c r="A38">
        <v>1</v>
      </c>
      <c r="B38">
        <v>0.111</v>
      </c>
      <c r="C38">
        <v>37</v>
      </c>
      <c r="D38">
        <v>-0.7782</v>
      </c>
      <c r="E38">
        <v>-0.39560000000000001</v>
      </c>
      <c r="F38">
        <v>2.2217770000000001E-2</v>
      </c>
      <c r="G38">
        <v>0.87297579000000003</v>
      </c>
      <c r="H38">
        <v>1</v>
      </c>
      <c r="I38" s="2">
        <v>0.32279999999999998</v>
      </c>
      <c r="J38">
        <v>3.6120000000000001</v>
      </c>
      <c r="K38">
        <v>0</v>
      </c>
      <c r="L38">
        <v>0</v>
      </c>
      <c r="M38">
        <v>0</v>
      </c>
      <c r="N38">
        <v>5.0061939999999999E-2</v>
      </c>
      <c r="O38">
        <v>4.3624500000000004E-3</v>
      </c>
      <c r="P38">
        <v>-6.0210000000000001E-5</v>
      </c>
      <c r="Q38">
        <v>-1.95</v>
      </c>
      <c r="R38">
        <v>-0.05</v>
      </c>
      <c r="S38">
        <v>1.9506409199999999</v>
      </c>
      <c r="T38">
        <v>1.849114E-2</v>
      </c>
      <c r="U38">
        <v>-3.9196130000000003E-2</v>
      </c>
      <c r="V38">
        <v>0</v>
      </c>
    </row>
    <row r="39" spans="1:22" x14ac:dyDescent="0.25">
      <c r="A39">
        <v>1</v>
      </c>
      <c r="B39">
        <v>0.114</v>
      </c>
      <c r="C39">
        <v>38</v>
      </c>
      <c r="D39">
        <v>-0.75970000000000004</v>
      </c>
      <c r="E39">
        <v>-0.43480000000000002</v>
      </c>
      <c r="F39">
        <v>2.1616449999999999E-2</v>
      </c>
      <c r="G39">
        <v>0.87532975999999996</v>
      </c>
      <c r="H39">
        <v>1</v>
      </c>
      <c r="I39" s="2">
        <v>0.28060000000000002</v>
      </c>
      <c r="J39">
        <v>3.6615000000000002</v>
      </c>
      <c r="K39">
        <v>0</v>
      </c>
      <c r="L39">
        <v>0</v>
      </c>
      <c r="M39">
        <v>0</v>
      </c>
      <c r="N39">
        <v>5.4306319999999998E-2</v>
      </c>
      <c r="O39">
        <v>4.2443799999999999E-3</v>
      </c>
      <c r="P39">
        <v>-1.1807E-4</v>
      </c>
      <c r="Q39">
        <v>-1.95</v>
      </c>
      <c r="R39">
        <v>-0.05</v>
      </c>
      <c r="S39">
        <v>1.9506409199999999</v>
      </c>
      <c r="T39">
        <v>1.7566450000000001E-2</v>
      </c>
      <c r="U39">
        <v>-3.8332570000000003E-2</v>
      </c>
      <c r="V39">
        <v>0</v>
      </c>
    </row>
    <row r="40" spans="1:22" x14ac:dyDescent="0.25">
      <c r="A40">
        <v>1</v>
      </c>
      <c r="B40">
        <v>0.11700000000000001</v>
      </c>
      <c r="C40">
        <v>39</v>
      </c>
      <c r="D40">
        <v>-0.74209999999999998</v>
      </c>
      <c r="E40">
        <v>-0.47320000000000001</v>
      </c>
      <c r="F40">
        <v>2.0735110000000001E-2</v>
      </c>
      <c r="G40">
        <v>0.88012941</v>
      </c>
      <c r="H40">
        <v>1</v>
      </c>
      <c r="I40" s="2">
        <v>0.2402</v>
      </c>
      <c r="J40">
        <v>3.7092000000000001</v>
      </c>
      <c r="K40">
        <v>0</v>
      </c>
      <c r="L40">
        <v>0</v>
      </c>
      <c r="M40">
        <v>0</v>
      </c>
      <c r="N40">
        <v>5.8377650000000003E-2</v>
      </c>
      <c r="O40">
        <v>4.0713299999999997E-3</v>
      </c>
      <c r="P40">
        <v>-1.7305000000000001E-4</v>
      </c>
      <c r="Q40">
        <v>-1.95</v>
      </c>
      <c r="R40">
        <v>-0.05</v>
      </c>
      <c r="S40">
        <v>1.9506409199999999</v>
      </c>
      <c r="T40">
        <v>1.644263E-2</v>
      </c>
      <c r="U40">
        <v>-3.6953760000000002E-2</v>
      </c>
      <c r="V40">
        <v>0</v>
      </c>
    </row>
    <row r="41" spans="1:22" x14ac:dyDescent="0.25">
      <c r="A41">
        <v>1</v>
      </c>
      <c r="B41">
        <v>0.12</v>
      </c>
      <c r="C41">
        <v>40</v>
      </c>
      <c r="D41">
        <v>-0.72570000000000001</v>
      </c>
      <c r="E41">
        <v>-0.5101</v>
      </c>
      <c r="F41">
        <v>1.9595169999999999E-2</v>
      </c>
      <c r="G41">
        <v>0.88703463000000005</v>
      </c>
      <c r="H41">
        <v>1</v>
      </c>
      <c r="I41" s="2">
        <v>0.20200000000000001</v>
      </c>
      <c r="J41">
        <v>3.7543000000000002</v>
      </c>
      <c r="K41">
        <v>0</v>
      </c>
      <c r="L41">
        <v>0</v>
      </c>
      <c r="M41">
        <v>0</v>
      </c>
      <c r="N41">
        <v>6.222515E-2</v>
      </c>
      <c r="O41">
        <v>3.8474999999999998E-3</v>
      </c>
      <c r="P41">
        <v>-2.2383E-4</v>
      </c>
      <c r="Q41">
        <v>-1.95</v>
      </c>
      <c r="R41">
        <v>-0.05</v>
      </c>
      <c r="S41">
        <v>1.9506409199999999</v>
      </c>
      <c r="T41">
        <v>1.5153399999999999E-2</v>
      </c>
      <c r="U41">
        <v>-3.509106E-2</v>
      </c>
      <c r="V41">
        <v>0</v>
      </c>
    </row>
    <row r="42" spans="1:22" x14ac:dyDescent="0.25">
      <c r="A42">
        <v>1</v>
      </c>
      <c r="B42">
        <v>0.123</v>
      </c>
      <c r="C42">
        <v>41</v>
      </c>
      <c r="D42">
        <v>-0.71050000000000002</v>
      </c>
      <c r="E42">
        <v>-0.54520000000000002</v>
      </c>
      <c r="F42">
        <v>1.8224219999999999E-2</v>
      </c>
      <c r="G42">
        <v>0.89560076</v>
      </c>
      <c r="H42">
        <v>1</v>
      </c>
      <c r="I42" s="2">
        <v>0.16639999999999999</v>
      </c>
      <c r="J42">
        <v>3.7961</v>
      </c>
      <c r="K42">
        <v>0</v>
      </c>
      <c r="L42">
        <v>0</v>
      </c>
      <c r="M42">
        <v>0</v>
      </c>
      <c r="N42">
        <v>6.5803470000000003E-2</v>
      </c>
      <c r="O42">
        <v>3.5783199999999999E-3</v>
      </c>
      <c r="P42">
        <v>-2.6917999999999999E-4</v>
      </c>
      <c r="Q42">
        <v>-1.95</v>
      </c>
      <c r="R42">
        <v>-0.05</v>
      </c>
      <c r="S42">
        <v>1.9506409199999999</v>
      </c>
      <c r="T42">
        <v>1.373534E-2</v>
      </c>
      <c r="U42">
        <v>-3.2788200000000003E-2</v>
      </c>
      <c r="V42">
        <v>0</v>
      </c>
    </row>
    <row r="43" spans="1:22" x14ac:dyDescent="0.25">
      <c r="A43">
        <v>1</v>
      </c>
      <c r="B43">
        <v>0.126</v>
      </c>
      <c r="C43">
        <v>42</v>
      </c>
      <c r="D43">
        <v>-0.69679999999999997</v>
      </c>
      <c r="E43">
        <v>-0.57799999999999996</v>
      </c>
      <c r="F43">
        <v>1.6655380000000001E-2</v>
      </c>
      <c r="G43">
        <v>0.90531746000000002</v>
      </c>
      <c r="H43">
        <v>1</v>
      </c>
      <c r="I43" s="2">
        <v>0.13389999999999999</v>
      </c>
      <c r="J43">
        <v>3.8340999999999998</v>
      </c>
      <c r="K43">
        <v>0</v>
      </c>
      <c r="L43">
        <v>0</v>
      </c>
      <c r="M43">
        <v>0</v>
      </c>
      <c r="N43">
        <v>6.9073739999999995E-2</v>
      </c>
      <c r="O43">
        <v>3.27028E-3</v>
      </c>
      <c r="P43">
        <v>-3.0803999999999998E-4</v>
      </c>
      <c r="Q43">
        <v>-1.95</v>
      </c>
      <c r="R43">
        <v>-0.05</v>
      </c>
      <c r="S43">
        <v>1.9506409199999999</v>
      </c>
      <c r="T43">
        <v>1.22267E-2</v>
      </c>
      <c r="U43">
        <v>-3.0100180000000001E-2</v>
      </c>
      <c r="V43">
        <v>0</v>
      </c>
    </row>
    <row r="44" spans="1:22" x14ac:dyDescent="0.25">
      <c r="A44">
        <v>1</v>
      </c>
      <c r="B44">
        <v>0.129</v>
      </c>
      <c r="C44">
        <v>43</v>
      </c>
      <c r="D44">
        <v>-0.68459999999999999</v>
      </c>
      <c r="E44">
        <v>-0.60809999999999997</v>
      </c>
      <c r="F44">
        <v>1.4926389999999999E-2</v>
      </c>
      <c r="G44">
        <v>0.91564891000000004</v>
      </c>
      <c r="H44">
        <v>1</v>
      </c>
      <c r="I44" s="2">
        <v>0.1048</v>
      </c>
      <c r="J44">
        <v>3.8679000000000001</v>
      </c>
      <c r="K44">
        <v>0</v>
      </c>
      <c r="L44">
        <v>0</v>
      </c>
      <c r="M44">
        <v>0</v>
      </c>
      <c r="N44">
        <v>7.2004529999999997E-2</v>
      </c>
      <c r="O44">
        <v>2.93079E-3</v>
      </c>
      <c r="P44">
        <v>-3.3949000000000002E-4</v>
      </c>
      <c r="Q44">
        <v>-1.95</v>
      </c>
      <c r="R44">
        <v>-0.05</v>
      </c>
      <c r="S44">
        <v>1.9506409199999999</v>
      </c>
      <c r="T44">
        <v>1.0666200000000001E-2</v>
      </c>
      <c r="U44">
        <v>-2.7091980000000002E-2</v>
      </c>
      <c r="V44">
        <v>0</v>
      </c>
    </row>
    <row r="45" spans="1:22" x14ac:dyDescent="0.25">
      <c r="A45">
        <v>1</v>
      </c>
      <c r="B45">
        <v>0.13200000000000001</v>
      </c>
      <c r="C45">
        <v>44</v>
      </c>
      <c r="D45">
        <v>-0.67390000000000005</v>
      </c>
      <c r="E45">
        <v>-0.63519999999999999</v>
      </c>
      <c r="F45">
        <v>1.3078869999999999E-2</v>
      </c>
      <c r="G45">
        <v>0.92607086999999999</v>
      </c>
      <c r="H45">
        <v>1</v>
      </c>
      <c r="I45" s="2">
        <v>7.9299999999999995E-2</v>
      </c>
      <c r="J45">
        <v>3.8974000000000002</v>
      </c>
      <c r="K45">
        <v>0</v>
      </c>
      <c r="L45">
        <v>0</v>
      </c>
      <c r="M45">
        <v>0</v>
      </c>
      <c r="N45">
        <v>7.4572570000000005E-2</v>
      </c>
      <c r="O45">
        <v>2.5680299999999998E-3</v>
      </c>
      <c r="P45">
        <v>-3.6276E-4</v>
      </c>
      <c r="Q45">
        <v>-1.95</v>
      </c>
      <c r="R45">
        <v>-0.05</v>
      </c>
      <c r="S45">
        <v>1.9506409199999999</v>
      </c>
      <c r="T45">
        <v>9.0920399999999992E-3</v>
      </c>
      <c r="U45">
        <v>-2.3837069999999998E-2</v>
      </c>
      <c r="V45">
        <v>0</v>
      </c>
    </row>
    <row r="46" spans="1:22" x14ac:dyDescent="0.25">
      <c r="A46">
        <v>1</v>
      </c>
      <c r="B46">
        <v>0.13500000000000001</v>
      </c>
      <c r="C46">
        <v>45</v>
      </c>
      <c r="D46">
        <v>-0.66479999999999995</v>
      </c>
      <c r="E46">
        <v>-0.65900000000000003</v>
      </c>
      <c r="F46">
        <v>1.1157490000000001E-2</v>
      </c>
      <c r="G46">
        <v>0.93610190000000004</v>
      </c>
      <c r="H46">
        <v>1</v>
      </c>
      <c r="I46" s="2">
        <v>5.7500000000000002E-2</v>
      </c>
      <c r="J46">
        <v>3.9226000000000001</v>
      </c>
      <c r="K46">
        <v>0</v>
      </c>
      <c r="L46">
        <v>0</v>
      </c>
      <c r="M46">
        <v>0</v>
      </c>
      <c r="N46">
        <v>7.6763330000000005E-2</v>
      </c>
      <c r="O46">
        <v>2.1907699999999999E-3</v>
      </c>
      <c r="P46">
        <v>-3.7725999999999998E-4</v>
      </c>
      <c r="Q46">
        <v>-1.95</v>
      </c>
      <c r="R46">
        <v>-0.05</v>
      </c>
      <c r="S46">
        <v>1.9506409199999999</v>
      </c>
      <c r="T46">
        <v>7.5410199999999998E-3</v>
      </c>
      <c r="U46">
        <v>-2.0416070000000001E-2</v>
      </c>
      <c r="V46">
        <v>0</v>
      </c>
    </row>
    <row r="47" spans="1:22" x14ac:dyDescent="0.25">
      <c r="A47">
        <v>1</v>
      </c>
      <c r="B47">
        <v>0.13800000000000001</v>
      </c>
      <c r="C47">
        <v>46</v>
      </c>
      <c r="D47">
        <v>-0.6573</v>
      </c>
      <c r="E47">
        <v>-0.67949999999999999</v>
      </c>
      <c r="F47">
        <v>9.2093399999999999E-3</v>
      </c>
      <c r="G47">
        <v>0.94532742000000003</v>
      </c>
      <c r="H47">
        <v>1</v>
      </c>
      <c r="I47" s="2">
        <v>3.9600000000000003E-2</v>
      </c>
      <c r="J47">
        <v>3.9436</v>
      </c>
      <c r="K47">
        <v>0</v>
      </c>
      <c r="L47">
        <v>0</v>
      </c>
      <c r="M47">
        <v>0</v>
      </c>
      <c r="N47">
        <v>7.8571580000000002E-2</v>
      </c>
      <c r="O47">
        <v>1.80825E-3</v>
      </c>
      <c r="P47">
        <v>-3.8252000000000002E-4</v>
      </c>
      <c r="Q47">
        <v>-1.95</v>
      </c>
      <c r="R47">
        <v>-0.05</v>
      </c>
      <c r="S47">
        <v>1.9506409199999999</v>
      </c>
      <c r="T47">
        <v>6.0478099999999998E-3</v>
      </c>
      <c r="U47">
        <v>-1.691548E-2</v>
      </c>
      <c r="V47">
        <v>0</v>
      </c>
    </row>
    <row r="48" spans="1:22" x14ac:dyDescent="0.25">
      <c r="A48">
        <v>1</v>
      </c>
      <c r="B48">
        <v>0.14099999999999999</v>
      </c>
      <c r="C48">
        <v>47</v>
      </c>
      <c r="D48">
        <v>-0.6512</v>
      </c>
      <c r="E48">
        <v>-0.69640000000000002</v>
      </c>
      <c r="F48">
        <v>7.2836200000000002E-3</v>
      </c>
      <c r="G48">
        <v>0.95341666000000003</v>
      </c>
      <c r="H48">
        <v>1</v>
      </c>
      <c r="I48" s="2">
        <v>2.5399999999999999E-2</v>
      </c>
      <c r="J48">
        <v>3.9605000000000001</v>
      </c>
      <c r="K48">
        <v>0</v>
      </c>
      <c r="L48">
        <v>0</v>
      </c>
      <c r="M48">
        <v>0</v>
      </c>
      <c r="N48">
        <v>8.0001719999999998E-2</v>
      </c>
      <c r="O48">
        <v>1.4301400000000001E-3</v>
      </c>
      <c r="P48">
        <v>-3.7811000000000002E-4</v>
      </c>
      <c r="Q48">
        <v>-1.95</v>
      </c>
      <c r="R48">
        <v>-0.05</v>
      </c>
      <c r="S48">
        <v>1.9506409199999999</v>
      </c>
      <c r="T48">
        <v>4.6446600000000001E-3</v>
      </c>
      <c r="U48">
        <v>-1.3427089999999999E-2</v>
      </c>
      <c r="V48">
        <v>0</v>
      </c>
    </row>
    <row r="49" spans="1:22" x14ac:dyDescent="0.25">
      <c r="A49">
        <v>1</v>
      </c>
      <c r="B49">
        <v>0.14399999999999999</v>
      </c>
      <c r="C49">
        <v>48</v>
      </c>
      <c r="D49">
        <v>-0.64659999999999995</v>
      </c>
      <c r="E49">
        <v>-0.70979999999999999</v>
      </c>
      <c r="F49">
        <v>5.4318700000000001E-3</v>
      </c>
      <c r="G49">
        <v>0.96013351000000002</v>
      </c>
      <c r="H49">
        <v>1</v>
      </c>
      <c r="I49" s="2">
        <v>1.4800000000000001E-2</v>
      </c>
      <c r="J49">
        <v>3.9735999999999998</v>
      </c>
      <c r="K49">
        <v>0</v>
      </c>
      <c r="L49">
        <v>0</v>
      </c>
      <c r="M49">
        <v>0</v>
      </c>
      <c r="N49">
        <v>8.1068269999999998E-2</v>
      </c>
      <c r="O49">
        <v>1.0665500000000001E-3</v>
      </c>
      <c r="P49">
        <v>-3.6359000000000001E-4</v>
      </c>
      <c r="Q49">
        <v>-1.95</v>
      </c>
      <c r="R49">
        <v>-0.05</v>
      </c>
      <c r="S49">
        <v>1.9506409199999999</v>
      </c>
      <c r="T49">
        <v>3.3614000000000001E-3</v>
      </c>
      <c r="U49">
        <v>-1.004831E-2</v>
      </c>
      <c r="V49">
        <v>0</v>
      </c>
    </row>
    <row r="50" spans="1:22" x14ac:dyDescent="0.25">
      <c r="A50">
        <v>1</v>
      </c>
      <c r="B50">
        <v>0.14699999999999999</v>
      </c>
      <c r="C50">
        <v>49</v>
      </c>
      <c r="D50">
        <v>-0.64319999999999999</v>
      </c>
      <c r="E50">
        <v>-0.7198</v>
      </c>
      <c r="F50">
        <v>3.7093500000000001E-3</v>
      </c>
      <c r="G50">
        <v>0.96534266000000002</v>
      </c>
      <c r="H50">
        <v>1</v>
      </c>
      <c r="I50" s="2">
        <v>7.4999999999999997E-3</v>
      </c>
      <c r="J50">
        <v>3.9832000000000001</v>
      </c>
      <c r="K50">
        <v>0</v>
      </c>
      <c r="L50">
        <v>0</v>
      </c>
      <c r="M50">
        <v>0</v>
      </c>
      <c r="N50">
        <v>8.1796590000000002E-2</v>
      </c>
      <c r="O50">
        <v>7.2833000000000001E-4</v>
      </c>
      <c r="P50">
        <v>-3.3822000000000002E-4</v>
      </c>
      <c r="Q50">
        <v>-1.95</v>
      </c>
      <c r="R50">
        <v>-0.05</v>
      </c>
      <c r="S50">
        <v>1.9506409199999999</v>
      </c>
      <c r="T50">
        <v>2.2261300000000002E-3</v>
      </c>
      <c r="U50">
        <v>-6.88464E-3</v>
      </c>
      <c r="V50">
        <v>0</v>
      </c>
    </row>
    <row r="51" spans="1:22" x14ac:dyDescent="0.25">
      <c r="A51">
        <v>1</v>
      </c>
      <c r="B51">
        <v>0.15</v>
      </c>
      <c r="C51">
        <v>50</v>
      </c>
      <c r="D51">
        <v>-0.64100000000000001</v>
      </c>
      <c r="E51">
        <v>-0.72670000000000001</v>
      </c>
      <c r="F51">
        <v>2.1789299999999999E-3</v>
      </c>
      <c r="G51">
        <v>0.96901333999999995</v>
      </c>
      <c r="H51">
        <v>1</v>
      </c>
      <c r="I51" s="2">
        <v>3.3E-3</v>
      </c>
      <c r="J51">
        <v>3.9895999999999998</v>
      </c>
      <c r="K51">
        <v>0</v>
      </c>
      <c r="L51">
        <v>0</v>
      </c>
      <c r="M51">
        <v>0</v>
      </c>
      <c r="N51">
        <v>8.2224430000000001E-2</v>
      </c>
      <c r="O51">
        <v>4.2782999999999997E-4</v>
      </c>
      <c r="P51">
        <v>-3.0049999999999999E-4</v>
      </c>
      <c r="Q51">
        <v>-1.95</v>
      </c>
      <c r="R51">
        <v>-0.05</v>
      </c>
      <c r="S51">
        <v>1.9506409199999999</v>
      </c>
      <c r="T51">
        <v>1.2673300000000001E-3</v>
      </c>
      <c r="U51">
        <v>-4.05698E-3</v>
      </c>
      <c r="V51">
        <v>0</v>
      </c>
    </row>
    <row r="52" spans="1:22" x14ac:dyDescent="0.25">
      <c r="A52">
        <v>1</v>
      </c>
      <c r="B52">
        <v>0.153</v>
      </c>
      <c r="C52">
        <v>51</v>
      </c>
      <c r="D52">
        <v>-0.63970000000000005</v>
      </c>
      <c r="E52">
        <v>-0.73080000000000001</v>
      </c>
      <c r="F52">
        <v>9.2252999999999996E-4</v>
      </c>
      <c r="G52">
        <v>0.97122443999999997</v>
      </c>
      <c r="H52">
        <v>1</v>
      </c>
      <c r="I52" s="2">
        <v>1.5E-3</v>
      </c>
      <c r="J52">
        <v>3.9933999999999998</v>
      </c>
      <c r="K52">
        <v>0</v>
      </c>
      <c r="L52">
        <v>0</v>
      </c>
      <c r="M52">
        <v>0</v>
      </c>
      <c r="N52">
        <v>8.2405560000000003E-2</v>
      </c>
      <c r="O52">
        <v>1.8113999999999999E-4</v>
      </c>
      <c r="P52">
        <v>-2.4669999999999998E-4</v>
      </c>
      <c r="Q52">
        <v>-1.95</v>
      </c>
      <c r="R52">
        <v>-0.05</v>
      </c>
      <c r="S52">
        <v>1.9506409199999999</v>
      </c>
      <c r="T52">
        <v>5.1966000000000002E-4</v>
      </c>
      <c r="U52">
        <v>-1.7228499999999999E-3</v>
      </c>
      <c r="V52">
        <v>0</v>
      </c>
    </row>
    <row r="53" spans="1:22" x14ac:dyDescent="0.25">
      <c r="A53">
        <v>1</v>
      </c>
      <c r="B53">
        <v>0.156</v>
      </c>
      <c r="C53">
        <v>52</v>
      </c>
      <c r="D53">
        <v>-0.63919999999999999</v>
      </c>
      <c r="E53">
        <v>-0.73250000000000004</v>
      </c>
      <c r="F53">
        <v>8.9800000000000001E-5</v>
      </c>
      <c r="G53">
        <v>0.97217969999999998</v>
      </c>
      <c r="H53">
        <v>1</v>
      </c>
      <c r="I53" s="2">
        <v>1.2999999999999999E-3</v>
      </c>
      <c r="J53">
        <v>3.9948999999999999</v>
      </c>
      <c r="K53">
        <v>0</v>
      </c>
      <c r="L53">
        <v>0</v>
      </c>
      <c r="M53">
        <v>0</v>
      </c>
      <c r="N53">
        <v>8.2423200000000002E-2</v>
      </c>
      <c r="O53">
        <v>1.7629999999999999E-5</v>
      </c>
      <c r="P53">
        <v>-1.6351000000000001E-4</v>
      </c>
      <c r="Q53">
        <v>-1.95</v>
      </c>
      <c r="R53">
        <v>-0.05</v>
      </c>
      <c r="S53">
        <v>1.9506409199999999</v>
      </c>
      <c r="T53">
        <v>4.8949999999999997E-5</v>
      </c>
      <c r="U53">
        <v>-1.6818000000000001E-4</v>
      </c>
      <c r="V53">
        <v>0</v>
      </c>
    </row>
    <row r="54" spans="1:22" x14ac:dyDescent="0.25">
      <c r="A54">
        <v>1</v>
      </c>
      <c r="B54">
        <v>0.159</v>
      </c>
      <c r="C54">
        <v>53</v>
      </c>
      <c r="D54">
        <v>-0.6391</v>
      </c>
      <c r="E54">
        <v>-0.73270000000000002</v>
      </c>
      <c r="F54">
        <v>0</v>
      </c>
      <c r="G54">
        <v>0.97227423999999996</v>
      </c>
      <c r="H54">
        <v>1</v>
      </c>
      <c r="I54" s="2">
        <v>0</v>
      </c>
      <c r="J54">
        <v>3.9950999999999999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</row>
    <row r="55" spans="1:22" x14ac:dyDescent="0.25">
      <c r="A55">
        <v>1</v>
      </c>
      <c r="B55">
        <v>0.16200000000000001</v>
      </c>
      <c r="C55">
        <v>54</v>
      </c>
      <c r="D55">
        <v>-0.6391</v>
      </c>
      <c r="E55">
        <v>-0.73270000000000002</v>
      </c>
      <c r="F55">
        <v>0</v>
      </c>
      <c r="G55">
        <v>0.97227423999999996</v>
      </c>
      <c r="H55">
        <v>1</v>
      </c>
      <c r="I55" s="2">
        <v>0</v>
      </c>
      <c r="J55">
        <v>3.9950999999999999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</row>
    <row r="56" spans="1:22" x14ac:dyDescent="0.25">
      <c r="A56">
        <v>1</v>
      </c>
      <c r="B56">
        <v>0.16500000000000001</v>
      </c>
      <c r="C56">
        <v>55</v>
      </c>
      <c r="D56">
        <v>-0.6391</v>
      </c>
      <c r="E56">
        <v>-0.73270000000000002</v>
      </c>
      <c r="F56">
        <v>0</v>
      </c>
      <c r="G56">
        <v>0.97227423999999996</v>
      </c>
      <c r="H56">
        <v>1</v>
      </c>
      <c r="I56" s="2">
        <v>0</v>
      </c>
      <c r="J56">
        <v>3.9950999999999999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</row>
    <row r="57" spans="1:22" x14ac:dyDescent="0.25">
      <c r="A57">
        <v>1</v>
      </c>
      <c r="B57">
        <v>0.16800000000000001</v>
      </c>
      <c r="C57">
        <v>56</v>
      </c>
      <c r="D57">
        <v>-0.6391</v>
      </c>
      <c r="E57">
        <v>-0.73270000000000002</v>
      </c>
      <c r="F57">
        <v>0</v>
      </c>
      <c r="G57">
        <v>0.97227423999999996</v>
      </c>
      <c r="H57">
        <v>1</v>
      </c>
      <c r="I57" s="2">
        <v>0</v>
      </c>
      <c r="J57">
        <v>3.9950999999999999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</row>
    <row r="58" spans="1:22" x14ac:dyDescent="0.25">
      <c r="A58">
        <v>1</v>
      </c>
      <c r="B58">
        <v>0.17100000000000001</v>
      </c>
      <c r="C58">
        <v>57</v>
      </c>
      <c r="D58">
        <v>-0.6391</v>
      </c>
      <c r="E58">
        <v>-0.73270000000000002</v>
      </c>
      <c r="F58">
        <v>0</v>
      </c>
      <c r="G58">
        <v>0.97227423999999996</v>
      </c>
      <c r="H58">
        <v>1</v>
      </c>
      <c r="I58" s="2">
        <v>0</v>
      </c>
      <c r="J58">
        <v>3.9950999999999999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</row>
    <row r="59" spans="1:22" x14ac:dyDescent="0.25">
      <c r="A59">
        <v>1</v>
      </c>
      <c r="B59">
        <v>0.17399999999999999</v>
      </c>
      <c r="C59">
        <v>58</v>
      </c>
      <c r="D59">
        <v>-0.6391</v>
      </c>
      <c r="E59">
        <v>-0.73270000000000002</v>
      </c>
      <c r="F59">
        <v>0</v>
      </c>
      <c r="G59">
        <v>0.97227423999999996</v>
      </c>
      <c r="H59">
        <v>1</v>
      </c>
      <c r="I59" s="2">
        <v>0</v>
      </c>
      <c r="J59">
        <v>3.9950999999999999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</row>
    <row r="60" spans="1:22" x14ac:dyDescent="0.25">
      <c r="A60">
        <v>1</v>
      </c>
      <c r="B60">
        <v>0.17699999999999999</v>
      </c>
      <c r="C60">
        <v>59</v>
      </c>
      <c r="D60">
        <v>-0.6391</v>
      </c>
      <c r="E60">
        <v>-0.73270000000000002</v>
      </c>
      <c r="F60">
        <v>0</v>
      </c>
      <c r="G60">
        <v>0.97227423999999996</v>
      </c>
      <c r="H60">
        <v>1</v>
      </c>
      <c r="I60" s="2">
        <v>0</v>
      </c>
      <c r="J60">
        <v>3.9950999999999999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</row>
    <row r="61" spans="1:22" x14ac:dyDescent="0.25">
      <c r="A61">
        <v>1</v>
      </c>
      <c r="B61">
        <v>0.18</v>
      </c>
      <c r="C61">
        <v>60</v>
      </c>
      <c r="D61">
        <v>-0.6391</v>
      </c>
      <c r="E61">
        <v>-0.73270000000000002</v>
      </c>
      <c r="F61">
        <v>0</v>
      </c>
      <c r="G61">
        <v>0.97227423999999996</v>
      </c>
      <c r="H61">
        <v>1</v>
      </c>
      <c r="I61" s="2">
        <v>0</v>
      </c>
      <c r="J61">
        <v>3.9950999999999999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</row>
    <row r="62" spans="1:22" x14ac:dyDescent="0.25">
      <c r="A62">
        <v>1</v>
      </c>
      <c r="B62">
        <v>0.183</v>
      </c>
      <c r="C62">
        <v>61</v>
      </c>
      <c r="D62">
        <v>-0.6391</v>
      </c>
      <c r="E62">
        <v>-0.73270000000000002</v>
      </c>
      <c r="F62">
        <v>0</v>
      </c>
      <c r="G62">
        <v>0.97227423999999996</v>
      </c>
      <c r="H62">
        <v>1</v>
      </c>
      <c r="I62" s="2">
        <v>0</v>
      </c>
      <c r="J62">
        <v>3.9950999999999999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</row>
    <row r="63" spans="1:22" x14ac:dyDescent="0.25">
      <c r="A63">
        <v>1</v>
      </c>
      <c r="B63">
        <v>0.186</v>
      </c>
      <c r="C63">
        <v>62</v>
      </c>
      <c r="D63">
        <v>-0.6391</v>
      </c>
      <c r="E63">
        <v>-0.73270000000000002</v>
      </c>
      <c r="F63">
        <v>0</v>
      </c>
      <c r="G63">
        <v>0.97227423999999996</v>
      </c>
      <c r="H63">
        <v>1</v>
      </c>
      <c r="I63" s="2">
        <v>0</v>
      </c>
      <c r="J63">
        <v>3.9950999999999999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</row>
    <row r="64" spans="1:22" x14ac:dyDescent="0.25">
      <c r="A64">
        <v>1</v>
      </c>
      <c r="B64">
        <v>0.189</v>
      </c>
      <c r="C64">
        <v>63</v>
      </c>
      <c r="D64">
        <v>-0.6391</v>
      </c>
      <c r="E64">
        <v>-0.73270000000000002</v>
      </c>
      <c r="F64">
        <v>0</v>
      </c>
      <c r="G64">
        <v>0.97227423999999996</v>
      </c>
      <c r="H64">
        <v>1</v>
      </c>
      <c r="I64" s="2">
        <v>0</v>
      </c>
      <c r="J64">
        <v>3.9950999999999999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</row>
    <row r="65" spans="1:22" x14ac:dyDescent="0.25">
      <c r="A65">
        <v>1</v>
      </c>
      <c r="B65">
        <v>0.192</v>
      </c>
      <c r="C65">
        <v>64</v>
      </c>
      <c r="D65">
        <v>-0.6391</v>
      </c>
      <c r="E65">
        <v>-0.73270000000000002</v>
      </c>
      <c r="F65">
        <v>0</v>
      </c>
      <c r="G65">
        <v>0.97227423999999996</v>
      </c>
      <c r="H65">
        <v>1</v>
      </c>
      <c r="I65" s="2">
        <v>0</v>
      </c>
      <c r="J65">
        <v>3.9950999999999999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</row>
    <row r="66" spans="1:22" x14ac:dyDescent="0.25">
      <c r="A66">
        <v>1</v>
      </c>
      <c r="B66">
        <v>0.19500000000000001</v>
      </c>
      <c r="C66">
        <v>65</v>
      </c>
      <c r="D66">
        <v>-0.6391</v>
      </c>
      <c r="E66">
        <v>-0.73270000000000002</v>
      </c>
      <c r="F66">
        <v>0</v>
      </c>
      <c r="G66">
        <v>0.97227423999999996</v>
      </c>
      <c r="H66">
        <v>1</v>
      </c>
      <c r="I66" s="2">
        <v>0</v>
      </c>
      <c r="J66">
        <v>3.9950999999999999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</row>
    <row r="67" spans="1:22" x14ac:dyDescent="0.25">
      <c r="A67">
        <v>1</v>
      </c>
      <c r="B67">
        <v>0.19800000000000001</v>
      </c>
      <c r="C67">
        <v>66</v>
      </c>
      <c r="D67">
        <v>-0.6391</v>
      </c>
      <c r="E67">
        <v>-0.73270000000000002</v>
      </c>
      <c r="F67">
        <v>0</v>
      </c>
      <c r="G67">
        <v>0.97227423999999996</v>
      </c>
      <c r="H67">
        <v>1</v>
      </c>
      <c r="I67" s="2">
        <v>0</v>
      </c>
      <c r="J67">
        <v>3.9950999999999999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</row>
    <row r="68" spans="1:22" x14ac:dyDescent="0.25">
      <c r="A68">
        <v>1</v>
      </c>
      <c r="B68">
        <v>0.20100000000000001</v>
      </c>
      <c r="C68">
        <v>67</v>
      </c>
      <c r="D68">
        <v>-0.6391</v>
      </c>
      <c r="E68">
        <v>-0.73270000000000002</v>
      </c>
      <c r="F68">
        <v>0</v>
      </c>
      <c r="G68">
        <v>0.97227423999999996</v>
      </c>
      <c r="H68">
        <v>1</v>
      </c>
      <c r="I68" s="2">
        <v>0</v>
      </c>
      <c r="J68">
        <v>3.9950999999999999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</row>
    <row r="69" spans="1:22" x14ac:dyDescent="0.25">
      <c r="A69">
        <v>1</v>
      </c>
      <c r="B69">
        <v>0.20399999999999999</v>
      </c>
      <c r="C69">
        <v>68</v>
      </c>
      <c r="D69">
        <v>-0.6391</v>
      </c>
      <c r="E69">
        <v>-0.73270000000000002</v>
      </c>
      <c r="F69">
        <v>0</v>
      </c>
      <c r="G69">
        <v>0.97227423999999996</v>
      </c>
      <c r="H69">
        <v>1</v>
      </c>
      <c r="I69" s="2">
        <v>0</v>
      </c>
      <c r="J69">
        <v>3.9950999999999999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</row>
    <row r="70" spans="1:22" x14ac:dyDescent="0.25">
      <c r="A70">
        <v>1</v>
      </c>
      <c r="B70">
        <v>0.20699999999999999</v>
      </c>
      <c r="C70">
        <v>69</v>
      </c>
      <c r="D70">
        <v>-0.6391</v>
      </c>
      <c r="E70">
        <v>-0.73270000000000002</v>
      </c>
      <c r="F70">
        <v>0</v>
      </c>
      <c r="G70">
        <v>0.97227423999999996</v>
      </c>
      <c r="H70">
        <v>1</v>
      </c>
      <c r="I70" s="2">
        <v>0</v>
      </c>
      <c r="J70">
        <v>3.9950999999999999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</row>
    <row r="71" spans="1:22" x14ac:dyDescent="0.25">
      <c r="A71">
        <v>1</v>
      </c>
      <c r="B71">
        <v>0.21</v>
      </c>
      <c r="C71">
        <v>70</v>
      </c>
      <c r="D71">
        <v>-0.6391</v>
      </c>
      <c r="E71">
        <v>-0.73270000000000002</v>
      </c>
      <c r="F71">
        <v>0</v>
      </c>
      <c r="G71">
        <v>0.97227423999999996</v>
      </c>
      <c r="H71">
        <v>1</v>
      </c>
      <c r="I71" s="2">
        <v>0</v>
      </c>
      <c r="J71">
        <v>3.9950999999999999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</row>
    <row r="72" spans="1:22" x14ac:dyDescent="0.25">
      <c r="A72">
        <v>1</v>
      </c>
      <c r="B72">
        <v>0.21299999999999999</v>
      </c>
      <c r="C72">
        <v>71</v>
      </c>
      <c r="D72">
        <v>-0.6391</v>
      </c>
      <c r="E72">
        <v>-0.73270000000000002</v>
      </c>
      <c r="F72">
        <v>0</v>
      </c>
      <c r="G72">
        <v>0.97227423999999996</v>
      </c>
      <c r="H72">
        <v>1</v>
      </c>
      <c r="I72" s="2">
        <v>0</v>
      </c>
      <c r="J72">
        <v>3.9950999999999999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</row>
    <row r="73" spans="1:22" x14ac:dyDescent="0.25">
      <c r="A73">
        <v>1</v>
      </c>
      <c r="B73">
        <v>0.216</v>
      </c>
      <c r="C73">
        <v>72</v>
      </c>
      <c r="D73">
        <v>-0.6391</v>
      </c>
      <c r="E73">
        <v>-0.73270000000000002</v>
      </c>
      <c r="F73">
        <v>0</v>
      </c>
      <c r="G73">
        <v>0.97227423999999996</v>
      </c>
      <c r="H73">
        <v>1</v>
      </c>
      <c r="I73" s="2">
        <v>0</v>
      </c>
      <c r="J73">
        <v>3.9950999999999999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</row>
    <row r="74" spans="1:22" x14ac:dyDescent="0.25">
      <c r="A74">
        <v>1</v>
      </c>
      <c r="B74">
        <v>0.219</v>
      </c>
      <c r="C74">
        <v>73</v>
      </c>
      <c r="D74">
        <v>-0.6391</v>
      </c>
      <c r="E74">
        <v>-0.73270000000000002</v>
      </c>
      <c r="F74">
        <v>0</v>
      </c>
      <c r="G74">
        <v>0.97227423999999996</v>
      </c>
      <c r="H74">
        <v>1</v>
      </c>
      <c r="I74" s="2">
        <v>0</v>
      </c>
      <c r="J74">
        <v>3.9950999999999999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</row>
    <row r="75" spans="1:22" x14ac:dyDescent="0.25">
      <c r="A75">
        <v>1</v>
      </c>
      <c r="B75">
        <v>0.222</v>
      </c>
      <c r="C75">
        <v>74</v>
      </c>
      <c r="D75">
        <v>-0.6391</v>
      </c>
      <c r="E75">
        <v>-0.73270000000000002</v>
      </c>
      <c r="F75">
        <v>0</v>
      </c>
      <c r="G75">
        <v>0.97227423999999996</v>
      </c>
      <c r="H75">
        <v>1</v>
      </c>
      <c r="I75" s="2">
        <v>0</v>
      </c>
      <c r="J75">
        <v>3.9950999999999999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</row>
    <row r="76" spans="1:22" x14ac:dyDescent="0.25">
      <c r="A76">
        <v>1</v>
      </c>
      <c r="B76">
        <v>0.22500000000000001</v>
      </c>
      <c r="C76">
        <v>75</v>
      </c>
      <c r="D76">
        <v>-0.6391</v>
      </c>
      <c r="E76">
        <v>-0.73270000000000002</v>
      </c>
      <c r="F76">
        <v>0</v>
      </c>
      <c r="G76">
        <v>0.97227423999999996</v>
      </c>
      <c r="H76">
        <v>1</v>
      </c>
      <c r="I76" s="2">
        <v>0</v>
      </c>
      <c r="J76">
        <v>3.9950999999999999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</row>
    <row r="77" spans="1:22" x14ac:dyDescent="0.25">
      <c r="A77">
        <v>1</v>
      </c>
      <c r="B77">
        <v>0.22800000000000001</v>
      </c>
      <c r="C77">
        <v>76</v>
      </c>
      <c r="D77">
        <v>-0.6391</v>
      </c>
      <c r="E77">
        <v>-0.73270000000000002</v>
      </c>
      <c r="F77">
        <v>0</v>
      </c>
      <c r="G77">
        <v>0.97227423999999996</v>
      </c>
      <c r="H77">
        <v>1</v>
      </c>
      <c r="I77" s="2">
        <v>0</v>
      </c>
      <c r="J77">
        <v>3.9950999999999999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</row>
    <row r="78" spans="1:22" x14ac:dyDescent="0.25">
      <c r="A78">
        <v>1</v>
      </c>
      <c r="B78">
        <v>0.23100000000000001</v>
      </c>
      <c r="C78">
        <v>77</v>
      </c>
      <c r="D78">
        <v>-0.6391</v>
      </c>
      <c r="E78">
        <v>-0.73270000000000002</v>
      </c>
      <c r="F78">
        <v>0</v>
      </c>
      <c r="G78">
        <v>0.97227423999999996</v>
      </c>
      <c r="H78">
        <v>1</v>
      </c>
      <c r="I78" s="2">
        <v>0</v>
      </c>
      <c r="J78">
        <v>3.9950999999999999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</row>
    <row r="79" spans="1:22" x14ac:dyDescent="0.25">
      <c r="A79">
        <v>1</v>
      </c>
      <c r="B79">
        <v>0.23400000000000001</v>
      </c>
      <c r="C79">
        <v>78</v>
      </c>
      <c r="D79">
        <v>-0.6391</v>
      </c>
      <c r="E79">
        <v>-0.73270000000000002</v>
      </c>
      <c r="F79">
        <v>0</v>
      </c>
      <c r="G79">
        <v>0.97227423999999996</v>
      </c>
      <c r="H79">
        <v>1</v>
      </c>
      <c r="I79" s="2">
        <v>0</v>
      </c>
      <c r="J79">
        <v>3.9950999999999999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</row>
    <row r="80" spans="1:22" x14ac:dyDescent="0.25">
      <c r="A80">
        <v>1</v>
      </c>
      <c r="B80">
        <v>0.23699999999999999</v>
      </c>
      <c r="C80">
        <v>79</v>
      </c>
      <c r="D80">
        <v>-0.6391</v>
      </c>
      <c r="E80">
        <v>-0.73270000000000002</v>
      </c>
      <c r="F80">
        <v>0</v>
      </c>
      <c r="G80">
        <v>0.97227423999999996</v>
      </c>
      <c r="H80">
        <v>1</v>
      </c>
      <c r="I80" s="2">
        <v>0</v>
      </c>
      <c r="J80">
        <v>3.9950999999999999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</row>
    <row r="81" spans="1:22" x14ac:dyDescent="0.25">
      <c r="A81">
        <v>1</v>
      </c>
      <c r="B81">
        <v>0.24</v>
      </c>
      <c r="C81">
        <v>80</v>
      </c>
      <c r="D81">
        <v>-0.6391</v>
      </c>
      <c r="E81">
        <v>-0.73270000000000002</v>
      </c>
      <c r="F81">
        <v>0</v>
      </c>
      <c r="G81">
        <v>0.97227423999999996</v>
      </c>
      <c r="H81">
        <v>1</v>
      </c>
      <c r="I81" s="2">
        <v>0</v>
      </c>
      <c r="J81">
        <v>3.9950999999999999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</row>
    <row r="82" spans="1:22" x14ac:dyDescent="0.25">
      <c r="A82">
        <v>1</v>
      </c>
      <c r="B82">
        <v>0.24299999999999999</v>
      </c>
      <c r="C82">
        <v>81</v>
      </c>
      <c r="D82">
        <v>-0.6391</v>
      </c>
      <c r="E82">
        <v>-0.73270000000000002</v>
      </c>
      <c r="F82">
        <v>0</v>
      </c>
      <c r="G82">
        <v>0.97227423999999996</v>
      </c>
      <c r="H82">
        <v>1</v>
      </c>
      <c r="I82" s="2">
        <v>0</v>
      </c>
      <c r="J82">
        <v>3.9950999999999999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</row>
    <row r="83" spans="1:22" x14ac:dyDescent="0.25">
      <c r="A83">
        <v>1</v>
      </c>
      <c r="B83">
        <v>0.246</v>
      </c>
      <c r="C83">
        <v>82</v>
      </c>
      <c r="D83">
        <v>-0.6391</v>
      </c>
      <c r="E83">
        <v>-0.73270000000000002</v>
      </c>
      <c r="F83">
        <v>0</v>
      </c>
      <c r="G83">
        <v>0.97227423999999996</v>
      </c>
      <c r="H83">
        <v>1</v>
      </c>
      <c r="I83" s="2">
        <v>0</v>
      </c>
      <c r="J83">
        <v>3.9950999999999999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</row>
    <row r="84" spans="1:22" x14ac:dyDescent="0.25">
      <c r="A84">
        <v>1</v>
      </c>
      <c r="B84">
        <v>0.249</v>
      </c>
      <c r="C84">
        <v>83</v>
      </c>
      <c r="D84">
        <v>-0.6391</v>
      </c>
      <c r="E84">
        <v>-0.73270000000000002</v>
      </c>
      <c r="F84">
        <v>0</v>
      </c>
      <c r="G84">
        <v>0.97227423999999996</v>
      </c>
      <c r="H84">
        <v>1</v>
      </c>
      <c r="I84" s="2">
        <v>0</v>
      </c>
      <c r="J84">
        <v>3.9950999999999999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</row>
    <row r="85" spans="1:22" x14ac:dyDescent="0.25">
      <c r="A85">
        <v>1</v>
      </c>
      <c r="B85">
        <v>0.252</v>
      </c>
      <c r="C85">
        <v>84</v>
      </c>
      <c r="D85">
        <v>-0.6391</v>
      </c>
      <c r="E85">
        <v>-0.73270000000000002</v>
      </c>
      <c r="F85">
        <v>0</v>
      </c>
      <c r="G85">
        <v>0.97227423999999996</v>
      </c>
      <c r="H85">
        <v>1</v>
      </c>
      <c r="I85" s="2">
        <v>0</v>
      </c>
      <c r="J85">
        <v>3.9950999999999999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</row>
    <row r="86" spans="1:22" x14ac:dyDescent="0.25">
      <c r="A86">
        <v>1</v>
      </c>
      <c r="B86">
        <v>0.255</v>
      </c>
      <c r="C86">
        <v>85</v>
      </c>
      <c r="D86">
        <v>-0.6391</v>
      </c>
      <c r="E86">
        <v>-0.73270000000000002</v>
      </c>
      <c r="F86">
        <v>0</v>
      </c>
      <c r="G86">
        <v>0.97227423999999996</v>
      </c>
      <c r="H86">
        <v>1</v>
      </c>
      <c r="I86" s="2">
        <v>0</v>
      </c>
      <c r="J86">
        <v>3.9950999999999999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</row>
    <row r="87" spans="1:22" x14ac:dyDescent="0.25">
      <c r="A87">
        <v>1</v>
      </c>
      <c r="B87">
        <v>0.25800000000000001</v>
      </c>
      <c r="C87">
        <v>86</v>
      </c>
      <c r="D87">
        <v>-0.6391</v>
      </c>
      <c r="E87">
        <v>-0.73270000000000002</v>
      </c>
      <c r="F87">
        <v>0</v>
      </c>
      <c r="G87">
        <v>0.97227423999999996</v>
      </c>
      <c r="H87">
        <v>1</v>
      </c>
      <c r="I87" s="2">
        <v>0</v>
      </c>
      <c r="J87">
        <v>3.9950999999999999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</row>
    <row r="88" spans="1:22" x14ac:dyDescent="0.25">
      <c r="A88">
        <v>1</v>
      </c>
      <c r="B88">
        <v>0.26100000000000001</v>
      </c>
      <c r="C88">
        <v>87</v>
      </c>
      <c r="D88">
        <v>-0.6391</v>
      </c>
      <c r="E88">
        <v>-0.73270000000000002</v>
      </c>
      <c r="F88">
        <v>0</v>
      </c>
      <c r="G88">
        <v>0.97227423999999996</v>
      </c>
      <c r="H88">
        <v>1</v>
      </c>
      <c r="I88" s="2">
        <v>0</v>
      </c>
      <c r="J88">
        <v>3.9950999999999999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C1ECFC5-E2E8-45B4-8CCC-7D201C99E9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Vals</vt:lpstr>
      <vt:lpstr>Plots</vt:lpstr>
      <vt:lpstr>TwoParticleH0C0</vt:lpstr>
      <vt:lpstr>TwoParticleH1C0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Bell,Jackie M</dc:creator>
  <cp:lastModifiedBy>Bell,Jackie M</cp:lastModifiedBy>
  <dcterms:created xsi:type="dcterms:W3CDTF">2026-03-10T16:49:37Z</dcterms:created>
  <dcterms:modified xsi:type="dcterms:W3CDTF">2026-03-12T20:35:04Z</dcterms:modified>
</cp:coreProperties>
</file>