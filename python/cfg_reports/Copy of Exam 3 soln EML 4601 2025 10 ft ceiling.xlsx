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_DJ\gPCD\python\cfg_reports\"/>
    </mc:Choice>
  </mc:AlternateContent>
  <xr:revisionPtr revIDLastSave="0" documentId="8_{0BC4F0E4-7F4A-46DA-805E-0F222D2AA4DF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A64" i="1" s="1"/>
  <c r="G64" i="1" s="1"/>
  <c r="I14" i="1" l="1"/>
  <c r="E10" i="1"/>
  <c r="C9" i="1"/>
  <c r="E9" i="1" s="1"/>
  <c r="E3" i="1"/>
  <c r="J3" i="1" l="1"/>
  <c r="A23" i="1"/>
  <c r="E11" i="1"/>
</calcChain>
</file>

<file path=xl/sharedStrings.xml><?xml version="1.0" encoding="utf-8"?>
<sst xmlns="http://schemas.openxmlformats.org/spreadsheetml/2006/main" count="43" uniqueCount="41">
  <si>
    <t>sf</t>
  </si>
  <si>
    <t>cfm/sf</t>
  </si>
  <si>
    <t>cfm sa</t>
  </si>
  <si>
    <t>for load</t>
  </si>
  <si>
    <t>sensible load</t>
  </si>
  <si>
    <t xml:space="preserve">problem 1 </t>
  </si>
  <si>
    <t>problem 2</t>
  </si>
  <si>
    <t>cfm to meet ashrae</t>
  </si>
  <si>
    <t>problem 3</t>
  </si>
  <si>
    <t>problem 4</t>
  </si>
  <si>
    <t>ft</t>
  </si>
  <si>
    <t>acph</t>
  </si>
  <si>
    <t xml:space="preserve">cfm </t>
  </si>
  <si>
    <t>problem 5</t>
  </si>
  <si>
    <t>for,pressurization</t>
  </si>
  <si>
    <t>problem 6</t>
  </si>
  <si>
    <t>problem 8</t>
  </si>
  <si>
    <t>tons</t>
  </si>
  <si>
    <t>btuh</t>
  </si>
  <si>
    <t>problem 9</t>
  </si>
  <si>
    <t>btuh reheat coil</t>
  </si>
  <si>
    <t xml:space="preserve">gpm hhw </t>
  </si>
  <si>
    <t>reheat coil</t>
  </si>
  <si>
    <t>both acceptable answers</t>
  </si>
  <si>
    <t>cfm supply air cfm</t>
  </si>
  <si>
    <t>Return turn CFM</t>
  </si>
  <si>
    <t>problem 7</t>
  </si>
  <si>
    <t>1140 cfm required to meet load</t>
  </si>
  <si>
    <t>1.0 inch pipe</t>
  </si>
  <si>
    <t>14x14</t>
  </si>
  <si>
    <t>16x16</t>
  </si>
  <si>
    <t>problem 10</t>
  </si>
  <si>
    <t>a.</t>
  </si>
  <si>
    <t>b.</t>
  </si>
  <si>
    <t>c.</t>
  </si>
  <si>
    <t>near the wall the main duct is or anything that makes sense</t>
  </si>
  <si>
    <t>d.</t>
  </si>
  <si>
    <t>near the return duct or near the door or on the wall adjacent to the main duct</t>
  </si>
  <si>
    <t>e.</t>
  </si>
  <si>
    <t>first section could be 16x16 or 14x14 and second section could be 14x14 or 12x12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</si>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</sst>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15</xdr:col>
      <xdr:colOff>46129</xdr:colOff>
      <xdr:row>52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531429"/>
          <a:ext cx="10292308" cy="76063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8"/>
  <sheetViews>
    <sheetView tabSelected="1" topLeftCell="A58" zoomScale="70" zoomScaleNormal="70" workbookViewId="0">
      <selection activeCell="R37" sqref="R37"/>
    </sheetView>
  </sheetViews>
  <sheetFormatPr defaultRowHeight="14.35" x14ac:dyDescent="0.5"/>
  <cols>
    <col min="1" max="1" width="14.1171875" bestFit="1" customWidth="1"/>
    <col min="5" max="5" width="11.41015625" bestFit="1" customWidth="1"/>
    <col min="9" max="9" width="14.41015625" bestFit="1" customWidth="1"/>
    <col min="10" max="10" width="12.5859375" bestFit="1" customWidth="1"/>
  </cols>
  <sheetData>
    <row r="1" spans="1:17" ht="20.7" x14ac:dyDescent="0.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7" x14ac:dyDescent="0.7">
      <c r="A2" s="1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0.7" x14ac:dyDescent="0.7">
      <c r="A3" s="1">
        <v>1000</v>
      </c>
      <c r="B3" s="1"/>
      <c r="C3" s="1">
        <v>1.1399999999999999</v>
      </c>
      <c r="D3" s="1"/>
      <c r="E3" s="4">
        <f>+A3*C3</f>
        <v>1140</v>
      </c>
      <c r="F3" s="1"/>
      <c r="G3" s="1">
        <v>75</v>
      </c>
      <c r="H3" s="1">
        <v>55</v>
      </c>
      <c r="I3" s="1"/>
      <c r="J3" s="1">
        <f>+E3*1.08*(G3-H3)</f>
        <v>24624</v>
      </c>
      <c r="K3" s="1"/>
      <c r="L3" s="1"/>
      <c r="M3" s="1"/>
      <c r="N3" s="1"/>
      <c r="O3" s="1"/>
      <c r="P3" s="1"/>
      <c r="Q3" s="1"/>
    </row>
    <row r="4" spans="1:17" ht="20.7" x14ac:dyDescent="0.7">
      <c r="A4" s="1" t="s">
        <v>0</v>
      </c>
      <c r="B4" s="1"/>
      <c r="C4" s="1" t="s">
        <v>1</v>
      </c>
      <c r="D4" s="1"/>
      <c r="E4" s="1" t="s">
        <v>2</v>
      </c>
      <c r="F4" s="1"/>
      <c r="G4" s="1"/>
      <c r="H4" s="1"/>
      <c r="I4" s="1"/>
      <c r="J4" s="1" t="s">
        <v>4</v>
      </c>
      <c r="K4" s="1"/>
      <c r="L4" s="1"/>
      <c r="M4" s="1"/>
      <c r="N4" s="1"/>
      <c r="O4" s="1"/>
      <c r="P4" s="1"/>
      <c r="Q4" s="1"/>
    </row>
    <row r="5" spans="1:17" ht="20.7" x14ac:dyDescent="0.7">
      <c r="A5" s="1"/>
      <c r="B5" s="1"/>
      <c r="C5" s="1"/>
      <c r="D5" s="1"/>
      <c r="E5" s="1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0.7" x14ac:dyDescent="0.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</v>
      </c>
      <c r="Q6" s="1"/>
    </row>
    <row r="7" spans="1:17" ht="20.7" x14ac:dyDescent="0.7">
      <c r="A7" s="1" t="s">
        <v>27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0.7" x14ac:dyDescent="0.7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0.7" x14ac:dyDescent="0.7">
      <c r="A9" s="1">
        <v>0.12</v>
      </c>
      <c r="B9" s="1"/>
      <c r="C9" s="1">
        <f>+A3</f>
        <v>1000</v>
      </c>
      <c r="D9" s="1"/>
      <c r="E9" s="1">
        <f>+A9*C9</f>
        <v>120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0.7" x14ac:dyDescent="0.7">
      <c r="A10" s="1">
        <v>10</v>
      </c>
      <c r="B10" s="1"/>
      <c r="C10" s="1">
        <v>30</v>
      </c>
      <c r="D10" s="1"/>
      <c r="E10" s="1">
        <f>+A10*C10</f>
        <v>300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0.7" x14ac:dyDescent="0.7">
      <c r="A11" s="1"/>
      <c r="B11" s="1"/>
      <c r="C11" s="1"/>
      <c r="D11" s="1"/>
      <c r="E11" s="4">
        <f>SUM(E9:E10)</f>
        <v>420</v>
      </c>
      <c r="F11" s="1" t="s">
        <v>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0.7" x14ac:dyDescent="0.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40</v>
      </c>
      <c r="Q12" s="1"/>
    </row>
    <row r="13" spans="1:17" ht="20.7" x14ac:dyDescent="0.7">
      <c r="A13" s="1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0.7" x14ac:dyDescent="0.7">
      <c r="A14" s="1">
        <v>1000</v>
      </c>
      <c r="B14" s="1"/>
      <c r="C14" s="1">
        <v>10</v>
      </c>
      <c r="D14" s="1"/>
      <c r="E14" s="1">
        <v>0.2</v>
      </c>
      <c r="F14" s="1"/>
      <c r="G14" s="1">
        <v>60</v>
      </c>
      <c r="H14" s="1"/>
      <c r="I14" s="4">
        <f>+A14*C14*E14/G14</f>
        <v>33.333333333333336</v>
      </c>
      <c r="J14" s="1"/>
      <c r="K14" s="1"/>
      <c r="L14" s="1"/>
      <c r="M14" s="1"/>
      <c r="N14" s="1"/>
      <c r="O14" s="1"/>
      <c r="P14" s="1"/>
      <c r="Q14" s="1"/>
    </row>
    <row r="15" spans="1:17" ht="20.7" x14ac:dyDescent="0.7">
      <c r="A15" s="1" t="s">
        <v>0</v>
      </c>
      <c r="B15" s="1"/>
      <c r="C15" s="1" t="s">
        <v>10</v>
      </c>
      <c r="D15" s="1"/>
      <c r="E15" s="1" t="s">
        <v>11</v>
      </c>
      <c r="F15" s="1"/>
      <c r="G15" s="1"/>
      <c r="H15" s="1"/>
      <c r="I15" s="1" t="s">
        <v>12</v>
      </c>
      <c r="K15" s="1"/>
      <c r="L15" s="1"/>
      <c r="M15" s="1"/>
      <c r="N15" s="1"/>
      <c r="O15" s="1"/>
      <c r="P15" s="1"/>
      <c r="Q15" s="1"/>
    </row>
    <row r="16" spans="1:17" ht="20.7" x14ac:dyDescent="0.7">
      <c r="A16" s="1"/>
      <c r="B16" s="1"/>
      <c r="C16" s="1"/>
      <c r="D16" s="1"/>
      <c r="E16" s="1"/>
      <c r="F16" s="1"/>
      <c r="G16" s="1"/>
      <c r="H16" s="1"/>
      <c r="I16" s="1" t="s">
        <v>14</v>
      </c>
      <c r="K16" s="1"/>
      <c r="L16" s="1"/>
      <c r="M16" s="1"/>
      <c r="N16" s="1"/>
      <c r="O16" s="1"/>
      <c r="P16" s="1"/>
      <c r="Q16" s="1"/>
    </row>
    <row r="17" spans="1:17" ht="20.7" x14ac:dyDescent="0.7">
      <c r="A17" s="1" t="s">
        <v>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0.7" x14ac:dyDescent="0.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0.7" x14ac:dyDescent="0.7">
      <c r="A19" s="4">
        <v>1140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0.7" x14ac:dyDescent="0.7">
      <c r="A20" s="1" t="s">
        <v>24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0.7" x14ac:dyDescent="0.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0.7" x14ac:dyDescent="0.7">
      <c r="A22" s="1" t="s">
        <v>13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0.7" x14ac:dyDescent="0.7">
      <c r="A23" s="4">
        <f>E3-I14</f>
        <v>1106.6666666666667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0.7" x14ac:dyDescent="0.7">
      <c r="A24" s="1" t="s">
        <v>25</v>
      </c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</row>
    <row r="25" spans="1:17" ht="20.7" x14ac:dyDescent="0.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0.7" x14ac:dyDescent="0.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0.7" x14ac:dyDescent="0.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0.7" x14ac:dyDescent="0.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0.7" x14ac:dyDescent="0.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0.7" x14ac:dyDescent="0.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0.7" x14ac:dyDescent="0.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0.7" x14ac:dyDescent="0.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0.7" x14ac:dyDescent="0.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0.7" x14ac:dyDescent="0.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0.7" x14ac:dyDescent="0.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0.7" x14ac:dyDescent="0.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0.7" x14ac:dyDescent="0.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0.7" x14ac:dyDescent="0.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0.7" x14ac:dyDescent="0.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0.7" x14ac:dyDescent="0.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0.7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0.7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0.7" x14ac:dyDescent="0.7">
      <c r="J43" s="1"/>
      <c r="K43" s="1"/>
      <c r="L43" s="1"/>
      <c r="M43" s="1"/>
      <c r="N43" s="1"/>
      <c r="O43" s="1"/>
      <c r="P43" s="1"/>
      <c r="Q43" s="1"/>
    </row>
    <row r="44" spans="1:17" ht="20.7" x14ac:dyDescent="0.7">
      <c r="J44" s="1"/>
      <c r="K44" s="1"/>
      <c r="L44" s="1"/>
      <c r="M44" s="1"/>
      <c r="N44" s="1"/>
      <c r="O44" s="1"/>
      <c r="P44" s="1"/>
      <c r="Q44" s="1"/>
    </row>
    <row r="45" spans="1:17" ht="20.7" x14ac:dyDescent="0.7">
      <c r="J45" s="1"/>
      <c r="K45" s="1"/>
      <c r="L45" s="1"/>
      <c r="M45" s="1"/>
      <c r="N45" s="1"/>
      <c r="O45" s="1"/>
      <c r="P45" s="1"/>
      <c r="Q45" s="1"/>
    </row>
    <row r="46" spans="1:17" ht="20.7" x14ac:dyDescent="0.7">
      <c r="J46" s="1"/>
      <c r="K46" s="1"/>
      <c r="L46" s="1"/>
      <c r="M46" s="1"/>
      <c r="N46" s="1"/>
      <c r="O46" s="1"/>
      <c r="P46" s="1"/>
      <c r="Q46" s="1"/>
    </row>
    <row r="47" spans="1:17" ht="20.7" x14ac:dyDescent="0.7">
      <c r="J47" s="1"/>
      <c r="K47" s="1"/>
      <c r="L47" s="1"/>
      <c r="M47" s="1"/>
      <c r="N47" s="1"/>
      <c r="O47" s="1"/>
      <c r="P47" s="1"/>
      <c r="Q47" s="1"/>
    </row>
    <row r="48" spans="1:17" ht="20.7" x14ac:dyDescent="0.7">
      <c r="J48" s="1"/>
      <c r="K48" s="1"/>
      <c r="L48" s="1"/>
      <c r="M48" s="1"/>
      <c r="N48" s="1"/>
      <c r="O48" s="1"/>
      <c r="P48" s="1"/>
      <c r="Q48" s="1"/>
    </row>
    <row r="49" spans="1:17" ht="20.7" x14ac:dyDescent="0.7">
      <c r="J49" s="1"/>
      <c r="K49" s="1"/>
      <c r="L49" s="1"/>
      <c r="M49" s="1"/>
      <c r="N49" s="1"/>
      <c r="O49" s="1"/>
      <c r="P49" s="1"/>
      <c r="Q49" s="1"/>
    </row>
    <row r="50" spans="1:17" ht="20.7" x14ac:dyDescent="0.7">
      <c r="J50" s="1"/>
      <c r="K50" s="1"/>
      <c r="L50" s="1"/>
      <c r="M50" s="1"/>
      <c r="N50" s="1"/>
      <c r="O50" s="1"/>
      <c r="P50" s="1"/>
      <c r="Q50" s="1"/>
    </row>
    <row r="51" spans="1:17" ht="20.7" x14ac:dyDescent="0.7">
      <c r="J51" s="1"/>
      <c r="K51" s="1"/>
      <c r="L51" s="1"/>
      <c r="M51" s="1"/>
      <c r="N51" s="1"/>
      <c r="O51" s="1"/>
      <c r="P51" s="1"/>
      <c r="Q51" s="1"/>
    </row>
    <row r="56" spans="1:17" ht="23.35" x14ac:dyDescent="0.8">
      <c r="A56" s="2" t="s">
        <v>15</v>
      </c>
      <c r="B56" s="2"/>
      <c r="C56" s="2"/>
      <c r="D56" s="2"/>
      <c r="E56" s="2"/>
      <c r="F56" s="2"/>
      <c r="G56" s="2"/>
      <c r="H56" s="2"/>
      <c r="I56" s="2"/>
    </row>
    <row r="57" spans="1:17" ht="23.35" x14ac:dyDescent="0.8">
      <c r="A57" s="5">
        <v>4.5</v>
      </c>
      <c r="B57" s="2" t="s">
        <v>17</v>
      </c>
      <c r="C57" s="2"/>
      <c r="D57" s="2"/>
      <c r="E57" s="2"/>
      <c r="F57" s="2"/>
      <c r="G57" s="2"/>
      <c r="H57" s="2"/>
      <c r="I57" s="2"/>
    </row>
    <row r="58" spans="1:17" ht="23.35" x14ac:dyDescent="0.8">
      <c r="A58" s="3">
        <v>54198</v>
      </c>
      <c r="B58" s="2" t="s">
        <v>18</v>
      </c>
      <c r="C58" s="2"/>
      <c r="D58" s="2"/>
      <c r="E58" s="2"/>
      <c r="F58" s="2"/>
      <c r="G58" s="2"/>
      <c r="H58" s="2"/>
      <c r="I58" s="2"/>
    </row>
    <row r="59" spans="1:17" ht="23.35" x14ac:dyDescent="0.8">
      <c r="A59" s="2" t="s">
        <v>26</v>
      </c>
      <c r="B59" s="2"/>
      <c r="C59" s="2"/>
      <c r="D59" s="2"/>
      <c r="E59" s="2"/>
      <c r="F59" s="2"/>
      <c r="G59" s="2"/>
      <c r="H59" s="2"/>
      <c r="I59" s="2"/>
    </row>
    <row r="60" spans="1:17" ht="23.35" x14ac:dyDescent="0.8">
      <c r="A60" s="2">
        <v>1140</v>
      </c>
      <c r="B60" s="2"/>
      <c r="C60" s="2">
        <v>1.08</v>
      </c>
      <c r="D60" s="2"/>
      <c r="E60" s="2">
        <v>100</v>
      </c>
      <c r="F60" s="2"/>
      <c r="G60" s="2">
        <v>55</v>
      </c>
      <c r="H60" s="2"/>
      <c r="I60" s="5">
        <f>+A60*C60*(E60-G60)</f>
        <v>55404</v>
      </c>
    </row>
    <row r="61" spans="1:17" ht="23.35" x14ac:dyDescent="0.8">
      <c r="A61" s="2"/>
      <c r="B61" s="2"/>
      <c r="C61" s="2"/>
      <c r="D61" s="2"/>
      <c r="E61" s="2"/>
      <c r="F61" s="2"/>
      <c r="G61" s="2"/>
      <c r="H61" s="2"/>
      <c r="I61" s="2"/>
    </row>
    <row r="62" spans="1:17" ht="23.35" x14ac:dyDescent="0.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7" ht="23.35" x14ac:dyDescent="0.8">
      <c r="A63" s="2" t="s">
        <v>16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7" ht="23.35" x14ac:dyDescent="0.8">
      <c r="A64" s="2">
        <f>+I60</f>
        <v>55404</v>
      </c>
      <c r="B64" s="2"/>
      <c r="C64" s="2">
        <v>500</v>
      </c>
      <c r="D64" s="2"/>
      <c r="E64" s="2">
        <v>20</v>
      </c>
      <c r="F64" s="2"/>
      <c r="G64" s="5">
        <f>+A64/10000</f>
        <v>5.5404</v>
      </c>
      <c r="H64" s="2" t="s">
        <v>21</v>
      </c>
      <c r="I64" s="2"/>
      <c r="J64" s="2"/>
      <c r="K64" s="2"/>
      <c r="L64" s="2"/>
      <c r="M64" s="2"/>
      <c r="N64" s="2"/>
      <c r="O64" s="2"/>
    </row>
    <row r="65" spans="1:15" ht="23.35" x14ac:dyDescent="0.8">
      <c r="A65" s="2" t="s">
        <v>18</v>
      </c>
      <c r="B65" s="2"/>
      <c r="C65" s="2"/>
      <c r="D65" s="2"/>
      <c r="E65" s="2"/>
      <c r="F65" s="2"/>
      <c r="G65" s="2"/>
      <c r="H65" s="2" t="s">
        <v>22</v>
      </c>
      <c r="I65" s="2"/>
      <c r="J65" s="2"/>
      <c r="K65" s="2"/>
      <c r="L65" s="2"/>
      <c r="M65" s="2"/>
      <c r="N65" s="2"/>
      <c r="O65" s="2"/>
    </row>
    <row r="66" spans="1:15" ht="23.35" x14ac:dyDescent="0.8">
      <c r="A66" s="2"/>
      <c r="B66" s="2"/>
      <c r="C66" s="2"/>
      <c r="D66" s="2"/>
      <c r="E66" s="2"/>
      <c r="F66" s="2"/>
      <c r="G66" s="5" t="s">
        <v>28</v>
      </c>
      <c r="H66" s="2"/>
      <c r="I66" s="2"/>
      <c r="J66" s="2"/>
      <c r="K66" s="2"/>
      <c r="L66" s="2"/>
      <c r="M66" s="2"/>
      <c r="N66" s="2"/>
      <c r="O66" s="2"/>
    </row>
    <row r="67" spans="1:15" ht="23.35" x14ac:dyDescent="0.8">
      <c r="A67" s="2"/>
      <c r="B67" s="2"/>
      <c r="C67" s="2"/>
      <c r="D67" s="2"/>
      <c r="E67" s="2"/>
      <c r="F67" s="2"/>
      <c r="G67" s="2"/>
      <c r="H67" s="2"/>
      <c r="I67" s="2"/>
      <c r="J67" s="2" t="s">
        <v>20</v>
      </c>
      <c r="K67" s="2"/>
      <c r="L67" s="2"/>
      <c r="M67" s="2"/>
      <c r="N67" s="2"/>
      <c r="O67" s="2"/>
    </row>
    <row r="68" spans="1:15" ht="23.35" x14ac:dyDescent="0.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23.35" x14ac:dyDescent="0.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23.35" x14ac:dyDescent="0.8">
      <c r="A70" s="2" t="s">
        <v>19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23.35" x14ac:dyDescent="0.8">
      <c r="A71" s="5" t="s">
        <v>29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23.35" x14ac:dyDescent="0.8">
      <c r="A72" s="5" t="s">
        <v>30</v>
      </c>
      <c r="B72" s="2"/>
      <c r="C72" s="2" t="s">
        <v>23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23.35" x14ac:dyDescent="0.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23.35" x14ac:dyDescent="0.8">
      <c r="A74" s="2" t="s">
        <v>31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23.35" x14ac:dyDescent="0.8">
      <c r="A75" s="2" t="s">
        <v>32</v>
      </c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23.35" x14ac:dyDescent="0.8">
      <c r="A76" s="2" t="s">
        <v>33</v>
      </c>
      <c r="B76" s="2">
        <v>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23.35" x14ac:dyDescent="0.8">
      <c r="A77" s="2" t="s">
        <v>34</v>
      </c>
      <c r="B77" s="2" t="s">
        <v>35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23.35" x14ac:dyDescent="0.8">
      <c r="A78" s="2" t="s">
        <v>36</v>
      </c>
      <c r="B78" s="2" t="s">
        <v>37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23.35" x14ac:dyDescent="0.8">
      <c r="A79" s="2" t="s">
        <v>38</v>
      </c>
      <c r="B79" s="2" t="s">
        <v>39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23.35" x14ac:dyDescent="0.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23.35" x14ac:dyDescent="0.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23.35" x14ac:dyDescent="0.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3.35" x14ac:dyDescent="0.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23.35" x14ac:dyDescent="0.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23.35" x14ac:dyDescent="0.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23.35" x14ac:dyDescent="0.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23.35" x14ac:dyDescent="0.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23.35" x14ac:dyDescent="0.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23.35" x14ac:dyDescent="0.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23.35" x14ac:dyDescent="0.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23.35" x14ac:dyDescent="0.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23.35" x14ac:dyDescent="0.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23.35" x14ac:dyDescent="0.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23.35" x14ac:dyDescent="0.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23.35" x14ac:dyDescent="0.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23.35" x14ac:dyDescent="0.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23.35" x14ac:dyDescent="0.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23.35" x14ac:dyDescent="0.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23.35" x14ac:dyDescent="0.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23.35" x14ac:dyDescent="0.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23.35" x14ac:dyDescent="0.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23.35" x14ac:dyDescent="0.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23.35" x14ac:dyDescent="0.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23.35" x14ac:dyDescent="0.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23.35" x14ac:dyDescent="0.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23.35" x14ac:dyDescent="0.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23.35" x14ac:dyDescent="0.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23.35" x14ac:dyDescent="0.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23.35" x14ac:dyDescent="0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23.35" x14ac:dyDescent="0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23.35" x14ac:dyDescent="0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23.35" x14ac:dyDescent="0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23.35" x14ac:dyDescent="0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23.35" x14ac:dyDescent="0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23.35" x14ac:dyDescent="0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23.35" x14ac:dyDescent="0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23.35" x14ac:dyDescent="0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23.35" x14ac:dyDescent="0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23.35" x14ac:dyDescent="0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23.35" x14ac:dyDescent="0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23.35" x14ac:dyDescent="0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23.35" x14ac:dyDescent="0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23.35" x14ac:dyDescent="0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23.35" x14ac:dyDescent="0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23.35" x14ac:dyDescent="0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23.35" x14ac:dyDescent="0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23.35" x14ac:dyDescent="0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23.35" x14ac:dyDescent="0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23.35" x14ac:dyDescent="0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23.35" x14ac:dyDescent="0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23.35" x14ac:dyDescent="0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23.35" x14ac:dyDescent="0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23.35" x14ac:dyDescent="0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23.35" x14ac:dyDescent="0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23.35" x14ac:dyDescent="0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23.35" x14ac:dyDescent="0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3.35" x14ac:dyDescent="0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23.35" x14ac:dyDescent="0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23.35" x14ac:dyDescent="0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23.35" x14ac:dyDescent="0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23.35" x14ac:dyDescent="0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23.35" x14ac:dyDescent="0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23.35" x14ac:dyDescent="0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23.35" x14ac:dyDescent="0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23.35" x14ac:dyDescent="0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23.35" x14ac:dyDescent="0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23.35" x14ac:dyDescent="0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23.35" x14ac:dyDescent="0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23.35" x14ac:dyDescent="0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23.35" x14ac:dyDescent="0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23.35" x14ac:dyDescent="0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23.35" x14ac:dyDescent="0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23.35" x14ac:dyDescent="0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23.35" x14ac:dyDescent="0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23.35" x14ac:dyDescent="0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23.35" x14ac:dyDescent="0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23.35" x14ac:dyDescent="0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23.35" x14ac:dyDescent="0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23.35" x14ac:dyDescent="0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23.35" x14ac:dyDescent="0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23.35" x14ac:dyDescent="0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23.35" x14ac:dyDescent="0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23.35" x14ac:dyDescent="0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23.35" x14ac:dyDescent="0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23.35" x14ac:dyDescent="0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23.35" x14ac:dyDescent="0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23.35" x14ac:dyDescent="0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23.35" x14ac:dyDescent="0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23.35" x14ac:dyDescent="0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23.35" x14ac:dyDescent="0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23.35" x14ac:dyDescent="0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23.35" x14ac:dyDescent="0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23.35" x14ac:dyDescent="0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23.35" x14ac:dyDescent="0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23.35" x14ac:dyDescent="0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23.35" x14ac:dyDescent="0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23.35" x14ac:dyDescent="0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23.35" x14ac:dyDescent="0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23.35" x14ac:dyDescent="0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23.35" x14ac:dyDescent="0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23.35" x14ac:dyDescent="0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23.35" x14ac:dyDescent="0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23.35" x14ac:dyDescent="0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23.35" x14ac:dyDescent="0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23.35" x14ac:dyDescent="0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23.35" x14ac:dyDescent="0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23.35" x14ac:dyDescent="0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23.35" x14ac:dyDescent="0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23.35" x14ac:dyDescent="0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23.35" x14ac:dyDescent="0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23.35" x14ac:dyDescent="0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23.35" x14ac:dyDescent="0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23.35" x14ac:dyDescent="0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23.35" x14ac:dyDescent="0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23.35" x14ac:dyDescent="0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23.35" x14ac:dyDescent="0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23.35" x14ac:dyDescent="0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23.35" x14ac:dyDescent="0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23.35" x14ac:dyDescent="0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23.35" x14ac:dyDescent="0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23.35" x14ac:dyDescent="0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23.35" x14ac:dyDescent="0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23.35" x14ac:dyDescent="0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23.35" x14ac:dyDescent="0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23.35" x14ac:dyDescent="0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23.35" x14ac:dyDescent="0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23.35" x14ac:dyDescent="0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23.35" x14ac:dyDescent="0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23.35" x14ac:dyDescent="0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23.35" x14ac:dyDescent="0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23.35" x14ac:dyDescent="0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23.35" x14ac:dyDescent="0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23.35" x14ac:dyDescent="0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23.35" x14ac:dyDescent="0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23.35" x14ac:dyDescent="0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3.35" x14ac:dyDescent="0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23.35" x14ac:dyDescent="0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23.35" x14ac:dyDescent="0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23.35" x14ac:dyDescent="0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23.35" x14ac:dyDescent="0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23.35" x14ac:dyDescent="0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23.35" x14ac:dyDescent="0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23.35" x14ac:dyDescent="0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23.35" x14ac:dyDescent="0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23.35" x14ac:dyDescent="0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23.35" x14ac:dyDescent="0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23.35" x14ac:dyDescent="0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23.35" x14ac:dyDescent="0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23.35" x14ac:dyDescent="0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23.35" x14ac:dyDescent="0.8">
      <c r="J230" s="2"/>
      <c r="K230" s="2"/>
      <c r="L230" s="2"/>
      <c r="M230" s="2"/>
      <c r="N230" s="2"/>
      <c r="O230" s="2"/>
    </row>
    <row r="231" spans="1:15" ht="23.35" x14ac:dyDescent="0.8">
      <c r="J231" s="2"/>
      <c r="K231" s="2"/>
      <c r="L231" s="2"/>
      <c r="M231" s="2"/>
      <c r="N231" s="2"/>
      <c r="O231" s="2"/>
    </row>
    <row r="232" spans="1:15" ht="23.35" x14ac:dyDescent="0.8">
      <c r="J232" s="2"/>
      <c r="K232" s="2"/>
      <c r="L232" s="2"/>
      <c r="M232" s="2"/>
      <c r="N232" s="2"/>
      <c r="O232" s="2"/>
    </row>
    <row r="233" spans="1:15" ht="23.35" x14ac:dyDescent="0.8">
      <c r="J233" s="2"/>
      <c r="K233" s="2"/>
      <c r="L233" s="2"/>
      <c r="M233" s="2"/>
      <c r="N233" s="2"/>
      <c r="O233" s="2"/>
    </row>
    <row r="234" spans="1:15" ht="23.35" x14ac:dyDescent="0.8">
      <c r="J234" s="2"/>
      <c r="K234" s="2"/>
      <c r="L234" s="2"/>
      <c r="M234" s="2"/>
      <c r="N234" s="2"/>
      <c r="O234" s="2"/>
    </row>
    <row r="235" spans="1:15" ht="23.35" x14ac:dyDescent="0.8">
      <c r="J235" s="2"/>
      <c r="K235" s="2"/>
      <c r="L235" s="2"/>
      <c r="M235" s="2"/>
      <c r="N235" s="2"/>
      <c r="O235" s="2"/>
    </row>
    <row r="236" spans="1:15" ht="23.35" x14ac:dyDescent="0.8">
      <c r="J236" s="2"/>
      <c r="K236" s="2"/>
      <c r="L236" s="2"/>
      <c r="M236" s="2"/>
      <c r="N236" s="2"/>
      <c r="O236" s="2"/>
    </row>
    <row r="237" spans="1:15" ht="23.35" x14ac:dyDescent="0.8">
      <c r="J237" s="2"/>
      <c r="K237" s="2"/>
      <c r="L237" s="2"/>
      <c r="M237" s="2"/>
      <c r="N237" s="2"/>
      <c r="O237" s="2"/>
    </row>
    <row r="238" spans="1:15" ht="23.35" x14ac:dyDescent="0.8">
      <c r="J238" s="2"/>
      <c r="K238" s="2"/>
      <c r="L238" s="2"/>
      <c r="M238" s="2"/>
      <c r="N238" s="2"/>
      <c r="O238" s="2"/>
    </row>
  </sheetData>
  <pageMargins left="0.7" right="0.7" top="0.75" bottom="0.75" header="0.3" footer="0.3"/>
  <pageSetup scale="77" fitToHeight="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530EC850DEE5418D3D4951FE095D87" ma:contentTypeVersion="15" ma:contentTypeDescription="Create a new document." ma:contentTypeScope="" ma:versionID="883dabe77002d590dacb0c329da0932c">
  <xsd:schema xmlns:xsd="http://www.w3.org/2001/XMLSchema" xmlns:xs="http://www.w3.org/2001/XMLSchema" xmlns:p="http://schemas.microsoft.com/office/2006/metadata/properties" xmlns:ns3="5e7125b3-6246-449b-86db-3bc3f42e4862" targetNamespace="http://schemas.microsoft.com/office/2006/metadata/properties" ma:root="true" ma:fieldsID="cb8e649cdaf446347c634fd9fd501d10" ns3:_="">
    <xsd:import namespace="5e7125b3-6246-449b-86db-3bc3f42e48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125b3-6246-449b-86db-3bc3f42e48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7125b3-6246-449b-86db-3bc3f42e4862" xsi:nil="true"/>
  </documentManagement>
</p:properties>
</file>

<file path=customXml/itemProps1.xml><?xml version="1.0" encoding="utf-8"?>
<ds:datastoreItem xmlns:ds="http://schemas.openxmlformats.org/officeDocument/2006/customXml" ds:itemID="{FD78A410-EDB8-447A-93BE-404565E55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125b3-6246-449b-86db-3bc3f42e48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55D286-91C5-452C-9293-5BD7D94B68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BE0EF5-4BBF-4C2C-B928-339F06046022}">
  <ds:schemaRefs>
    <ds:schemaRef ds:uri="http://purl.org/dc/dcmitype/"/>
    <ds:schemaRef ds:uri="http://schemas.microsoft.com/office/2006/metadata/properties"/>
    <ds:schemaRef ds:uri="http://purl.org/dc/elements/1.1/"/>
    <ds:schemaRef ds:uri="5e7125b3-6246-449b-86db-3bc3f42e4862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Ingley</dc:creator>
  <cp:lastModifiedBy>Bell,Jackie M</cp:lastModifiedBy>
  <cp:lastPrinted>2022-04-20T16:12:23Z</cp:lastPrinted>
  <dcterms:created xsi:type="dcterms:W3CDTF">2018-02-19T16:57:16Z</dcterms:created>
  <dcterms:modified xsi:type="dcterms:W3CDTF">2026-04-22T16:34:36Z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0x010100E1530EC850DEE5418D3D4951FE095D87</vt:lpwstr>
  </property>
</Properties>
</file>