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defaultThemeVersion="202300"/>
  <mc:AlternateContent xmlns:mc="http://schemas.openxmlformats.org/markup-compatibility/2006">
    <mc:Choice Requires="x15">
      <x15ac:absPath xmlns:x15ac="http://schemas.microsoft.com/office/spreadsheetml/2010/11/ac" url="C:\_DJ\gPCD\python\cfg_reports\"/>
    </mc:Choice>
  </mc:AlternateContent>
  <xr:revisionPtr revIDLastSave="0" documentId="13_ncr:1_{5AC38C0D-C9CF-4F2D-B272-C0888CC780FB}" xr6:coauthVersionLast="47" xr6:coauthVersionMax="47" xr10:uidLastSave="{00000000-0000-0000-0000-000000000000}"/>
  <bookViews>
    <workbookView xWindow="-120" yWindow="-120" windowWidth="29040" windowHeight="15720" firstSheet="4" activeTab="9" xr2:uid="{344CEF82-2D3C-4B1C-BF8B-240F78A3E6CA}"/>
  </bookViews>
  <sheets>
    <sheet name="PQBV Data" sheetId="5" r:id="rId1"/>
    <sheet name="PQBS Data" sheetId="3" r:id="rId2"/>
    <sheet name="PQBST Data" sheetId="6" r:id="rId3"/>
    <sheet name="PQBS Total Plots" sheetId="1" r:id="rId4"/>
    <sheet name="PQBST Compute Plots" sheetId="7" r:id="rId5"/>
    <sheet name="PQBST Graphics Plots" sheetId="8" r:id="rId6"/>
    <sheet name="PQBS ALL Plots" sheetId="9" r:id="rId7"/>
    <sheet name="PBQRT Data" sheetId="16" r:id="rId8"/>
    <sheet name="PQBR Data" sheetId="10" r:id="rId9"/>
    <sheet name="PQBR Total Plots" sheetId="12" r:id="rId10"/>
    <sheet name="PQBS vs PQBR" sheetId="13" r:id="rId11"/>
    <sheet name="PQBRT Compute Plots" sheetId="14" r:id="rId12"/>
    <sheet name="PQBRT Graphics Plots" sheetId="15" r:id="rId13"/>
  </sheets>
  <definedNames>
    <definedName name="_xleta.N" hidden="1" xlm="1">#NAME?</definedName>
    <definedName name="_xleta.SECOND" hidden="1" xlm="1">#NAME?</definedName>
    <definedName name="ExternalData_1" localSheetId="7" hidden="1">'PBQRT Data'!$A$1:$N$42</definedName>
    <definedName name="ExternalData_1" localSheetId="8" hidden="1">'PQBR Data'!$A$1:$N$42</definedName>
    <definedName name="ExternalData_1" localSheetId="2" hidden="1">'PQBST Data'!$A$1:$N$42</definedName>
    <definedName name="ExternalData_1" localSheetId="0" hidden="1">'PQBV Data'!$A$1:$G$42</definedName>
    <definedName name="ExternalData_2" localSheetId="1" hidden="1">'PQBS Data'!$A$1:$N$42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0" l="1"/>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2" i="10"/>
  <c r="W3" i="13"/>
  <c r="W4" i="13"/>
  <c r="W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504C6A-2302-425A-81D2-68A8F92CE6FC}" keepAlive="1" name="Query - perfdataPerformanceSummary" description="Connection to the 'perfdataPerformanceSummary' query in the workbook." type="5" refreshedVersion="8" background="1" saveData="1">
    <dbPr connection="Provider=Microsoft.Mashup.OleDb.1;Data Source=$Workbook$;Location=perfdataPerformanceSummary;Extended Properties=&quot;&quot;" command="SELECT * FROM [perfdataPerformanceSummary]"/>
  </connection>
  <connection id="2" xr16:uid="{5A78B455-C86D-4430-A0A9-7E6360E75C03}" keepAlive="1" name="Query - perfdataPerformanceSummary (2)" description="Connection to the 'perfdataPerformanceSummary (2)' query in the workbook." type="5" refreshedVersion="8" background="1" saveData="1">
    <dbPr connection="Provider=Microsoft.Mashup.OleDb.1;Data Source=$Workbook$;Location=&quot;perfdataPerformanceSummary (2)&quot;;Extended Properties=&quot;&quot;" command="SELECT * FROM [perfdataPerformanceSummary (2)]"/>
  </connection>
  <connection id="3" xr16:uid="{7704E465-ADB8-426C-A7CF-88A4B15B0B64}" keepAlive="1" name="Query - perfdataPerformanceSummary (3)" description="Connection to the 'perfdataPerformanceSummary (3)' query in the workbook." type="5" refreshedVersion="8" background="1" saveData="1">
    <dbPr connection="Provider=Microsoft.Mashup.OleDb.1;Data Source=$Workbook$;Location=&quot;perfdataPerformanceSummary (3)&quot;;Extended Properties=&quot;&quot;" command="SELECT * FROM [perfdataPerformanceSummary (3)]"/>
  </connection>
  <connection id="4" xr16:uid="{18EE28F5-98BC-475F-BF58-149F609C4395}" keepAlive="1" name="Query - perfdataPerformanceSummary (4)" description="Connection to the 'perfdataPerformanceSummary (4)' query in the workbook." type="5" refreshedVersion="8" background="1" saveData="1">
    <dbPr connection="Provider=Microsoft.Mashup.OleDb.1;Data Source=$Workbook$;Location=&quot;perfdataPerformanceSummary (4)&quot;;Extended Properties=&quot;&quot;" command="SELECT * FROM [perfdataPerformanceSummary (4)]"/>
  </connection>
  <connection id="5" xr16:uid="{27B008A8-3122-4F7C-A44D-C6547A8F7B28}" keepAlive="1" name="Query - perfdataPerformanceSummary (5)" description="Connection to the 'perfdataPerformanceSummary (5)' query in the workbook." type="5" refreshedVersion="8" background="1" saveData="1">
    <dbPr connection="Provider=Microsoft.Mashup.OleDb.1;Data Source=$Workbook$;Location=&quot;perfdataPerformanceSummary (5)&quot;;Extended Properties=&quot;&quot;" command="SELECT * FROM [perfdataPerformanceSummary (5)]"/>
  </connection>
  <connection id="6" xr16:uid="{D784314B-A4A0-431D-A3C4-E14244B363BB}" keepAlive="1" name="Query - perfdataVerificationSummary" description="Connection to the 'perfdataVerificationSummary' query in the workbook." type="5" refreshedVersion="8" background="1" saveData="1">
    <dbPr connection="Provider=Microsoft.Mashup.OleDb.1;Data Source=$Workbook$;Location=perfdataVerificationSummary;Extended Properties=&quot;&quot;" command="SELECT * FROM [perfdataVerificationSummary]"/>
  </connection>
</connections>
</file>

<file path=xl/sharedStrings.xml><?xml version="1.0" encoding="utf-8"?>
<sst xmlns="http://schemas.openxmlformats.org/spreadsheetml/2006/main" count="268" uniqueCount="96">
  <si>
    <t>Name</t>
  </si>
  <si>
    <t>fps</t>
  </si>
  <si>
    <t>cpums</t>
  </si>
  <si>
    <t>cms</t>
  </si>
  <si>
    <t>gms</t>
  </si>
  <si>
    <t>expectedp</t>
  </si>
  <si>
    <t>loadedp</t>
  </si>
  <si>
    <t>shaderp_comp</t>
  </si>
  <si>
    <t>shaderp_grph</t>
  </si>
  <si>
    <t>expectedc</t>
  </si>
  <si>
    <t>shaderc</t>
  </si>
  <si>
    <t>sidelen</t>
  </si>
  <si>
    <t>mean</t>
  </si>
  <si>
    <t>stddev</t>
  </si>
  <si>
    <t>000CollisionDataSet32X16X4</t>
  </si>
  <si>
    <t>001CollisionDataSet1024X512X8</t>
  </si>
  <si>
    <t>002CollisionDataSet148480X74240X29</t>
  </si>
  <si>
    <t>003CollisionDataSet312320X156160X36</t>
  </si>
  <si>
    <t>004CollisionDataSet459776X229888X41</t>
  </si>
  <si>
    <t>005CollisionDataSet623616X311808X45</t>
  </si>
  <si>
    <t>006CollisionDataSet787456X393728X49</t>
  </si>
  <si>
    <t>007CollisionDataSet934912X467456X51</t>
  </si>
  <si>
    <t>008CollisionDataSet1098752X549376X54</t>
  </si>
  <si>
    <t>009CollisionDataSet1262592X631296X57</t>
  </si>
  <si>
    <t>010CollisionDataSet1426432X713216X59</t>
  </si>
  <si>
    <t>011CollisionDataSet1590272X795136X61</t>
  </si>
  <si>
    <t>012CollisionDataSet1754112X877056X63</t>
  </si>
  <si>
    <t>013CollisionDataSet1917952X958976X65</t>
  </si>
  <si>
    <t>014CollisionDataSet2081792X1040896X66</t>
  </si>
  <si>
    <t>015CollisionDataSet2245632X1122816X68</t>
  </si>
  <si>
    <t>016CollisionDataSet2409472X1204736X70</t>
  </si>
  <si>
    <t>017CollisionDataSet2573312X1286656X71</t>
  </si>
  <si>
    <t>018CollisionDataSet2737152X1368576X72</t>
  </si>
  <si>
    <t>019CollisionDataSet2900992X1450496X74</t>
  </si>
  <si>
    <t>020CollisionDataSet3064832X1532416X75</t>
  </si>
  <si>
    <t>021CollisionDataSet3228672X1614336X76</t>
  </si>
  <si>
    <t>022CollisionDataSet3392512X1696256X78</t>
  </si>
  <si>
    <t>023CollisionDataSet3539968X1769984X79</t>
  </si>
  <si>
    <t>024CollisionDataSet3703808X1851904X80</t>
  </si>
  <si>
    <t>025CollisionDataSet3867648X1933824X81</t>
  </si>
  <si>
    <t>026CollisionDataSet4031488X2015744X82</t>
  </si>
  <si>
    <t>027CollisionDataSet4195328X2097664X83</t>
  </si>
  <si>
    <t>028CollisionDataSet4359168X2179584X84</t>
  </si>
  <si>
    <t>029CollisionDataSet4523008X2261504X85</t>
  </si>
  <si>
    <t>030CollisionDataSet4686848X2343424X86</t>
  </si>
  <si>
    <t>031CollisionDataSet4850688X2425344X87</t>
  </si>
  <si>
    <t>032CollisionDataSet5014528X2507264X88</t>
  </si>
  <si>
    <t>033CollisionDataSet5178368X2589184X89</t>
  </si>
  <si>
    <t>034CollisionDataSet5342208X2671104X90</t>
  </si>
  <si>
    <t>035CollisionDataSet5506048X2753024X91</t>
  </si>
  <si>
    <t>036CollisionDataSet5669888X2834944X92</t>
  </si>
  <si>
    <t>037CollisionDataSet5833728X2916864X93</t>
  </si>
  <si>
    <t>038CollisionDataSet5997568X2998784X93</t>
  </si>
  <si>
    <t>039CollisionDataSet6161408X3080704X94</t>
  </si>
  <si>
    <t>040CollisionDataSet10470400X5235200X112</t>
  </si>
  <si>
    <t>C:/_DJ/gPCDData/perfDataPQB/000CollisionDataSet32X16X4D.csv</t>
  </si>
  <si>
    <t>C:/_DJ/gPCDData/perfDataPQB/001CollisionDataSet1024X512X8D.csv</t>
  </si>
  <si>
    <t>C:/_DJ/gPCDData/perfDataPQB/002CollisionDataSet148480X74240X29D.csv</t>
  </si>
  <si>
    <t>C:/_DJ/gPCDData/perfDataPQB/003CollisionDataSet312320X156160X36D.csv</t>
  </si>
  <si>
    <t>C:/_DJ/gPCDData/perfDataPQB/004CollisionDataSet459776X229888X41D.csv</t>
  </si>
  <si>
    <t>C:/_DJ/gPCDData/perfDataPQB/005CollisionDataSet623616X311808X45D.csv</t>
  </si>
  <si>
    <t>C:/_DJ/gPCDData/perfDataPQB/006CollisionDataSet787456X393728X49D.csv</t>
  </si>
  <si>
    <t>C:/_DJ/gPCDData/perfDataPQB/007CollisionDataSet934912X467456X51D.csv</t>
  </si>
  <si>
    <t>C:/_DJ/gPCDData/perfDataPQB/008CollisionDataSet1098752X549376X54D.csv</t>
  </si>
  <si>
    <t>C:/_DJ/gPCDData/perfDataPQB/009CollisionDataSet1262592X631296X57D.csv</t>
  </si>
  <si>
    <t>C:/_DJ/gPCDData/perfDataPQB/010CollisionDataSet1426432X713216X59D.csv</t>
  </si>
  <si>
    <t>C:/_DJ/gPCDData/perfDataPQB/011CollisionDataSet1590272X795136X61D.csv</t>
  </si>
  <si>
    <t>C:/_DJ/gPCDData/perfDataPQB/012CollisionDataSet1754112X877056X63D.csv</t>
  </si>
  <si>
    <t>C:/_DJ/gPCDData/perfDataPQB/013CollisionDataSet1917952X958976X65D.csv</t>
  </si>
  <si>
    <t>C:/_DJ/gPCDData/perfDataPQB/014CollisionDataSet2081792X1040896X66D.csv</t>
  </si>
  <si>
    <t>C:/_DJ/gPCDData/perfDataPQB/015CollisionDataSet2245632X1122816X68D.csv</t>
  </si>
  <si>
    <t>C:/_DJ/gPCDData/perfDataPQB/016CollisionDataSet2409472X1204736X70D.csv</t>
  </si>
  <si>
    <t>C:/_DJ/gPCDData/perfDataPQB/017CollisionDataSet2573312X1286656X71D.csv</t>
  </si>
  <si>
    <t>C:/_DJ/gPCDData/perfDataPQB/018CollisionDataSet2737152X1368576X72D.csv</t>
  </si>
  <si>
    <t>C:/_DJ/gPCDData/perfDataPQB/019CollisionDataSet2900992X1450496X74D.csv</t>
  </si>
  <si>
    <t>C:/_DJ/gPCDData/perfDataPQB/020CollisionDataSet3064832X1532416X75D.csv</t>
  </si>
  <si>
    <t>C:/_DJ/gPCDData/perfDataPQB/021CollisionDataSet3228672X1614336X76D.csv</t>
  </si>
  <si>
    <t>C:/_DJ/gPCDData/perfDataPQB/022CollisionDataSet3392512X1696256X78D.csv</t>
  </si>
  <si>
    <t>C:/_DJ/gPCDData/perfDataPQB/023CollisionDataSet3539968X1769984X79D.csv</t>
  </si>
  <si>
    <t>C:/_DJ/gPCDData/perfDataPQB/024CollisionDataSet3703808X1851904X80D.csv</t>
  </si>
  <si>
    <t>C:/_DJ/gPCDData/perfDataPQB/025CollisionDataSet3867648X1933824X81D.csv</t>
  </si>
  <si>
    <t>C:/_DJ/gPCDData/perfDataPQB/026CollisionDataSet4031488X2015744X82D.csv</t>
  </si>
  <si>
    <t>C:/_DJ/gPCDData/perfDataPQB/027CollisionDataSet4195328X2097664X83D.csv</t>
  </si>
  <si>
    <t>C:/_DJ/gPCDData/perfDataPQB/028CollisionDataSet4359168X2179584X84D.csv</t>
  </si>
  <si>
    <t>C:/_DJ/gPCDData/perfDataPQB/029CollisionDataSet4523008X2261504X85D.csv</t>
  </si>
  <si>
    <t>C:/_DJ/gPCDData/perfDataPQB/030CollisionDataSet4686848X2343424X86D.csv</t>
  </si>
  <si>
    <t>C:/_DJ/gPCDData/perfDataPQB/031CollisionDataSet4850688X2425344X87D.csv</t>
  </si>
  <si>
    <t>C:/_DJ/gPCDData/perfDataPQB/032CollisionDataSet5014528X2507264X88D.csv</t>
  </si>
  <si>
    <t>C:/_DJ/gPCDData/perfDataPQB/033CollisionDataSet5178368X2589184X89D.csv</t>
  </si>
  <si>
    <t>C:/_DJ/gPCDData/perfDataPQB/034CollisionDataSet5342208X2671104X90D.csv</t>
  </si>
  <si>
    <t>C:/_DJ/gPCDData/perfDataPQB/035CollisionDataSet5506048X2753024X91D.csv</t>
  </si>
  <si>
    <t>C:/_DJ/gPCDData/perfDataPQB/036CollisionDataSet5669888X2834944X92D.csv</t>
  </si>
  <si>
    <t>C:/_DJ/gPCDData/perfDataPQB/037CollisionDataSet5833728X2916864X93D.csv</t>
  </si>
  <si>
    <t>C:/_DJ/gPCDData/perfDataPQB/038CollisionDataSet5997568X2998784X93D.csv</t>
  </si>
  <si>
    <t>C:/_DJ/gPCDData/perfDataPQB/039CollisionDataSet6161408X3080704X94D.csv</t>
  </si>
  <si>
    <t>C:/_DJ/gPCDData/perfDataPQB/040CollisionDataSet10470400X5235200X112D.csv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</si>
</sst>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theme="1"/>
      <name val="Aptos Narrow"/>
      <family val="2"/>
      <scheme val="minor"/>
    </font>
  </fonts>
  <fills count="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7" tint="0.79998168889431442"/>
        <bgColor indexed="65"/>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cellStyleXfs>
  <cellXfs count="17">
    <xf numFmtId="0" fontId="0" fillId="0" borderId="0" xfId="0"/>
    <xf numFmtId="0" fontId="0" fillId="0" borderId="1" xfId="0" applyBorder="1"/>
    <xf numFmtId="0" fontId="1" fillId="3" borderId="1" xfId="2" applyBorder="1"/>
    <xf numFmtId="0" fontId="1" fillId="2" borderId="1" xfId="1" applyBorder="1"/>
    <xf numFmtId="0" fontId="0" fillId="0" borderId="2" xfId="0" applyBorder="1"/>
    <xf numFmtId="0" fontId="0" fillId="0" borderId="3" xfId="0" applyBorder="1"/>
    <xf numFmtId="0" fontId="0" fillId="0" borderId="4" xfId="0" applyBorder="1"/>
    <xf numFmtId="0" fontId="0" fillId="0" borderId="5" xfId="0" applyBorder="1"/>
    <xf numFmtId="0" fontId="1" fillId="4" borderId="1" xfId="3" applyBorder="1"/>
    <xf numFmtId="0" fontId="1" fillId="4" borderId="6" xfId="3" applyBorder="1"/>
    <xf numFmtId="0" fontId="0" fillId="0" borderId="7" xfId="0" applyBorder="1"/>
    <xf numFmtId="0" fontId="1" fillId="4" borderId="8" xfId="3" applyBorder="1"/>
    <xf numFmtId="0" fontId="1" fillId="4" borderId="9" xfId="3" applyBorder="1"/>
    <xf numFmtId="0" fontId="0" fillId="0" borderId="9" xfId="0" applyBorder="1"/>
    <xf numFmtId="0" fontId="0" fillId="0" borderId="6" xfId="0" applyBorder="1"/>
    <xf numFmtId="0" fontId="1" fillId="3" borderId="8" xfId="2" applyBorder="1"/>
    <xf numFmtId="0" fontId="0" fillId="0" borderId="8" xfId="0" applyBorder="1"/>
  </cellXfs>
  <cellStyles count="4">
    <cellStyle name="20% - Accent1" xfId="1" builtinId="30"/>
    <cellStyle name="20% - Accent2" xfId="2" builtinId="34"/>
    <cellStyle name="20% - Accent4" xfId="3" builtinId="42"/>
    <cellStyle name="Normal" xfId="0" builtinId="0"/>
  </cellStyles>
  <dxfs count="80">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FPS Polynomial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aseline="0"/>
                      <a:t>t = 238508n</a:t>
                    </a:r>
                    <a:r>
                      <a:rPr lang="en-US" sz="1400" baseline="30000"/>
                      <a:t>-0.551</a:t>
                    </a:r>
                    <a:br>
                      <a:rPr lang="en-US" sz="1400" baseline="0"/>
                    </a:br>
                    <a:r>
                      <a:rPr lang="en-US" sz="1400" baseline="0"/>
                      <a:t>R² = 0.6178</a:t>
                    </a:r>
                    <a:endParaRPr lang="en-US" sz="1400"/>
                  </a:p>
                </c:rich>
              </c:tx>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Data'!$B$2:$B$42</c:f>
              <c:numCache>
                <c:formatCode>General</c:formatCode>
                <c:ptCount val="41"/>
                <c:pt idx="0">
                  <c:v>8236.99</c:v>
                </c:pt>
                <c:pt idx="1">
                  <c:v>8356.65</c:v>
                </c:pt>
                <c:pt idx="2">
                  <c:v>1253.9000000000001</c:v>
                </c:pt>
                <c:pt idx="3">
                  <c:v>539.99300000000005</c:v>
                </c:pt>
                <c:pt idx="4">
                  <c:v>366.62400000000002</c:v>
                </c:pt>
                <c:pt idx="5">
                  <c:v>260.52100000000002</c:v>
                </c:pt>
                <c:pt idx="6">
                  <c:v>220.47900000000001</c:v>
                </c:pt>
                <c:pt idx="7">
                  <c:v>185.23400000000001</c:v>
                </c:pt>
                <c:pt idx="8">
                  <c:v>159.61000000000001</c:v>
                </c:pt>
                <c:pt idx="9">
                  <c:v>138.167</c:v>
                </c:pt>
                <c:pt idx="10">
                  <c:v>120.548</c:v>
                </c:pt>
                <c:pt idx="11">
                  <c:v>110.774</c:v>
                </c:pt>
                <c:pt idx="12">
                  <c:v>100.996</c:v>
                </c:pt>
                <c:pt idx="13">
                  <c:v>93.513400000000004</c:v>
                </c:pt>
                <c:pt idx="14">
                  <c:v>85.689400000000006</c:v>
                </c:pt>
                <c:pt idx="15">
                  <c:v>79.660499999999999</c:v>
                </c:pt>
                <c:pt idx="16">
                  <c:v>75.424099999999996</c:v>
                </c:pt>
                <c:pt idx="17">
                  <c:v>71.001099999999994</c:v>
                </c:pt>
                <c:pt idx="18">
                  <c:v>67.277699999999996</c:v>
                </c:pt>
                <c:pt idx="19">
                  <c:v>62.272599999999997</c:v>
                </c:pt>
                <c:pt idx="20">
                  <c:v>58.6967</c:v>
                </c:pt>
                <c:pt idx="21">
                  <c:v>57.431699999999999</c:v>
                </c:pt>
                <c:pt idx="22">
                  <c:v>54.402700000000003</c:v>
                </c:pt>
                <c:pt idx="23">
                  <c:v>52.412500000000001</c:v>
                </c:pt>
                <c:pt idx="24">
                  <c:v>50.311100000000003</c:v>
                </c:pt>
                <c:pt idx="25">
                  <c:v>47.8825</c:v>
                </c:pt>
                <c:pt idx="26">
                  <c:v>45.796900000000001</c:v>
                </c:pt>
                <c:pt idx="27">
                  <c:v>44.5792</c:v>
                </c:pt>
                <c:pt idx="28">
                  <c:v>43.273600000000002</c:v>
                </c:pt>
                <c:pt idx="29">
                  <c:v>41.471200000000003</c:v>
                </c:pt>
                <c:pt idx="30">
                  <c:v>40.750799999999998</c:v>
                </c:pt>
                <c:pt idx="31">
                  <c:v>38.997500000000002</c:v>
                </c:pt>
                <c:pt idx="32">
                  <c:v>37.721899999999998</c:v>
                </c:pt>
                <c:pt idx="33">
                  <c:v>36.502800000000001</c:v>
                </c:pt>
                <c:pt idx="34">
                  <c:v>36.004100000000001</c:v>
                </c:pt>
                <c:pt idx="35">
                  <c:v>34.8645</c:v>
                </c:pt>
                <c:pt idx="36">
                  <c:v>33.667400000000001</c:v>
                </c:pt>
                <c:pt idx="37">
                  <c:v>33.2057</c:v>
                </c:pt>
                <c:pt idx="38">
                  <c:v>32.303100000000001</c:v>
                </c:pt>
                <c:pt idx="39">
                  <c:v>31.388500000000001</c:v>
                </c:pt>
                <c:pt idx="40">
                  <c:v>19.347799999999999</c:v>
                </c:pt>
              </c:numCache>
            </c:numRef>
          </c:yVal>
          <c:smooth val="1"/>
          <c:extLst>
            <c:ext xmlns:c16="http://schemas.microsoft.com/office/drawing/2014/chart" uri="{C3380CC4-5D6E-409C-BE32-E72D297353CC}">
              <c16:uniqueId val="{00000000-6646-48FD-ABCD-68292EFF1E99}"/>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a:t>
                </a:r>
                <a:r>
                  <a:rPr lang="en-US" baseline="0"/>
                  <a:t> 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0-D8CD-460F-B12B-400E1106FEE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B375-4883-BA00-86CD45BBC2F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PQBS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1-2860-40C3-9518-D9261357748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1252-47DF-8732-5D224D12D27E}"/>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4230412317686805"/>
                  <c:y val="3.171231162352887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Data'!$C$2:$C$42</c:f>
              <c:numCache>
                <c:formatCode>General</c:formatCode>
                <c:ptCount val="41"/>
                <c:pt idx="0">
                  <c:v>1.8420700000000001E-4</c:v>
                </c:pt>
                <c:pt idx="1">
                  <c:v>1.7365100000000001E-4</c:v>
                </c:pt>
                <c:pt idx="2">
                  <c:v>9.2358299999999996E-4</c:v>
                </c:pt>
                <c:pt idx="3">
                  <c:v>2.1292500000000001E-3</c:v>
                </c:pt>
                <c:pt idx="4">
                  <c:v>2.8503199999999999E-3</c:v>
                </c:pt>
                <c:pt idx="5">
                  <c:v>3.7289200000000002E-3</c:v>
                </c:pt>
                <c:pt idx="6">
                  <c:v>4.6669499999999996E-3</c:v>
                </c:pt>
                <c:pt idx="7">
                  <c:v>5.5361200000000003E-3</c:v>
                </c:pt>
                <c:pt idx="8">
                  <c:v>6.3614500000000003E-3</c:v>
                </c:pt>
                <c:pt idx="9">
                  <c:v>7.3884299999999997E-3</c:v>
                </c:pt>
                <c:pt idx="10">
                  <c:v>8.2583899999999991E-3</c:v>
                </c:pt>
                <c:pt idx="11">
                  <c:v>9.1363599999999996E-3</c:v>
                </c:pt>
                <c:pt idx="12">
                  <c:v>1.0055400000000001E-2</c:v>
                </c:pt>
                <c:pt idx="13">
                  <c:v>1.0958000000000001E-2</c:v>
                </c:pt>
                <c:pt idx="14">
                  <c:v>1.20284E-2</c:v>
                </c:pt>
                <c:pt idx="15">
                  <c:v>1.27688E-2</c:v>
                </c:pt>
                <c:pt idx="16">
                  <c:v>1.37018E-2</c:v>
                </c:pt>
                <c:pt idx="17">
                  <c:v>1.46315E-2</c:v>
                </c:pt>
                <c:pt idx="18">
                  <c:v>1.5540200000000001E-2</c:v>
                </c:pt>
                <c:pt idx="19">
                  <c:v>1.6569E-2</c:v>
                </c:pt>
                <c:pt idx="20">
                  <c:v>1.728E-2</c:v>
                </c:pt>
                <c:pt idx="21">
                  <c:v>1.82247E-2</c:v>
                </c:pt>
                <c:pt idx="22">
                  <c:v>1.91659E-2</c:v>
                </c:pt>
                <c:pt idx="23">
                  <c:v>1.9966999999999999E-2</c:v>
                </c:pt>
                <c:pt idx="24">
                  <c:v>2.0912900000000002E-2</c:v>
                </c:pt>
                <c:pt idx="25">
                  <c:v>2.14407E-2</c:v>
                </c:pt>
                <c:pt idx="26">
                  <c:v>2.2548800000000001E-2</c:v>
                </c:pt>
                <c:pt idx="27">
                  <c:v>2.3550700000000001E-2</c:v>
                </c:pt>
                <c:pt idx="28">
                  <c:v>2.45802E-2</c:v>
                </c:pt>
                <c:pt idx="29">
                  <c:v>2.5331200000000002E-2</c:v>
                </c:pt>
                <c:pt idx="30">
                  <c:v>2.63165E-2</c:v>
                </c:pt>
                <c:pt idx="31">
                  <c:v>2.7226799999999999E-2</c:v>
                </c:pt>
                <c:pt idx="32">
                  <c:v>2.8050100000000001E-2</c:v>
                </c:pt>
                <c:pt idx="33">
                  <c:v>2.9069899999999999E-2</c:v>
                </c:pt>
                <c:pt idx="34">
                  <c:v>2.9911799999999999E-2</c:v>
                </c:pt>
                <c:pt idx="35">
                  <c:v>3.0980799999999999E-2</c:v>
                </c:pt>
                <c:pt idx="36">
                  <c:v>3.1837699999999997E-2</c:v>
                </c:pt>
                <c:pt idx="37">
                  <c:v>3.2645899999999999E-2</c:v>
                </c:pt>
                <c:pt idx="38">
                  <c:v>3.3610399999999999E-2</c:v>
                </c:pt>
                <c:pt idx="39">
                  <c:v>3.4510800000000001E-2</c:v>
                </c:pt>
                <c:pt idx="40">
                  <c:v>5.92793E-2</c:v>
                </c:pt>
              </c:numCache>
            </c:numRef>
          </c:yVal>
          <c:smooth val="1"/>
          <c:extLst>
            <c:ext xmlns:c16="http://schemas.microsoft.com/office/drawing/2014/chart" uri="{C3380CC4-5D6E-409C-BE32-E72D297353CC}">
              <c16:uniqueId val="{00000001-E91E-46FE-A31C-1E676329A713}"/>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Comoute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1-9AE7-4207-976E-702449280E81}"/>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41452433005821121"/>
              <c:y val="0.9106358611934759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53B5-4EA2-9685-E9460A584F52}"/>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Graphics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0759-47A3-8AD3-13F447E2A37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layout>
            <c:manualLayout>
              <c:xMode val="edge"/>
              <c:yMode val="edge"/>
              <c:x val="0.39330514982458337"/>
              <c:y val="0.8625872333664751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PBQS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1831257542392564"/>
                  <c:y val="-5.57906348344711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Data'!$E$2:$E$41</c:f>
              <c:numCache>
                <c:formatCode>General</c:formatCode>
                <c:ptCount val="40"/>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numCache>
            </c:numRef>
          </c:yVal>
          <c:smooth val="1"/>
          <c:extLst>
            <c:ext xmlns:c16="http://schemas.microsoft.com/office/drawing/2014/chart" uri="{C3380CC4-5D6E-409C-BE32-E72D297353CC}">
              <c16:uniqueId val="{00000001-F83A-4B5A-894A-8365699E1640}"/>
            </c:ext>
          </c:extLst>
        </c:ser>
        <c:dLbls>
          <c:showLegendKey val="0"/>
          <c:showVal val="0"/>
          <c:showCatName val="0"/>
          <c:showSerName val="0"/>
          <c:showPercent val="0"/>
          <c:showBubbleSize val="0"/>
        </c:dLbls>
        <c:axId val="469162416"/>
        <c:axId val="1400030576"/>
      </c:scatterChart>
      <c:valAx>
        <c:axId val="46916241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38458189229656786"/>
          <c:y val="0.57714915328679484"/>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Graphics,Compute</a:t>
            </a:r>
            <a:r>
              <a:rPr lang="en-US" baseline="0"/>
              <a:t> and Total frame times.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"PQBS Graphics"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Data'!$E$2:$E$42</c:f>
              <c:numCache>
                <c:formatCode>General</c:formatCode>
                <c:ptCount val="41"/>
                <c:pt idx="0">
                  <c:v>7.3919999999999997E-6</c:v>
                </c:pt>
                <c:pt idx="1">
                  <c:v>7.9999999999999996E-6</c:v>
                </c:pt>
                <c:pt idx="2">
                  <c:v>1.1446399999999999E-4</c:v>
                </c:pt>
                <c:pt idx="3">
                  <c:v>2.7833600000000001E-4</c:v>
                </c:pt>
                <c:pt idx="4">
                  <c:v>3.9753599999999998E-4</c:v>
                </c:pt>
                <c:pt idx="5">
                  <c:v>5.3929599999999998E-4</c:v>
                </c:pt>
                <c:pt idx="6">
                  <c:v>7.5945600000000004E-4</c:v>
                </c:pt>
                <c:pt idx="7">
                  <c:v>8.8806400000000004E-4</c:v>
                </c:pt>
                <c:pt idx="8">
                  <c:v>1.0371499999999999E-3</c:v>
                </c:pt>
                <c:pt idx="9">
                  <c:v>1.40307E-3</c:v>
                </c:pt>
                <c:pt idx="10">
                  <c:v>1.3398100000000001E-3</c:v>
                </c:pt>
                <c:pt idx="11">
                  <c:v>1.4853399999999999E-3</c:v>
                </c:pt>
                <c:pt idx="12">
                  <c:v>1.6207699999999999E-3</c:v>
                </c:pt>
                <c:pt idx="13">
                  <c:v>1.7714199999999999E-3</c:v>
                </c:pt>
                <c:pt idx="14">
                  <c:v>2.3693099999999999E-3</c:v>
                </c:pt>
                <c:pt idx="15">
                  <c:v>2.25472E-3</c:v>
                </c:pt>
                <c:pt idx="16">
                  <c:v>2.1896300000000001E-3</c:v>
                </c:pt>
                <c:pt idx="17">
                  <c:v>2.6899200000000002E-3</c:v>
                </c:pt>
                <c:pt idx="18">
                  <c:v>2.7882200000000001E-3</c:v>
                </c:pt>
                <c:pt idx="19">
                  <c:v>2.8628199999999999E-3</c:v>
                </c:pt>
                <c:pt idx="20">
                  <c:v>2.9476799999999998E-3</c:v>
                </c:pt>
                <c:pt idx="21">
                  <c:v>3.1390099999999998E-3</c:v>
                </c:pt>
                <c:pt idx="22">
                  <c:v>3.3230099999999999E-3</c:v>
                </c:pt>
                <c:pt idx="23">
                  <c:v>3.7583400000000002E-3</c:v>
                </c:pt>
                <c:pt idx="24">
                  <c:v>3.5111399999999998E-3</c:v>
                </c:pt>
                <c:pt idx="25">
                  <c:v>3.4508199999999998E-3</c:v>
                </c:pt>
                <c:pt idx="26">
                  <c:v>3.8536600000000001E-3</c:v>
                </c:pt>
                <c:pt idx="27">
                  <c:v>3.9102700000000004E-3</c:v>
                </c:pt>
                <c:pt idx="28">
                  <c:v>4.0512600000000001E-3</c:v>
                </c:pt>
                <c:pt idx="29">
                  <c:v>4.20989E-3</c:v>
                </c:pt>
                <c:pt idx="30">
                  <c:v>4.4785600000000004E-3</c:v>
                </c:pt>
                <c:pt idx="31">
                  <c:v>4.4457300000000002E-3</c:v>
                </c:pt>
                <c:pt idx="32">
                  <c:v>4.6019199999999998E-3</c:v>
                </c:pt>
                <c:pt idx="33">
                  <c:v>4.5974700000000002E-3</c:v>
                </c:pt>
                <c:pt idx="34">
                  <c:v>4.6848599999999999E-3</c:v>
                </c:pt>
                <c:pt idx="35">
                  <c:v>4.8039700000000003E-3</c:v>
                </c:pt>
                <c:pt idx="36">
                  <c:v>5.01229E-3</c:v>
                </c:pt>
                <c:pt idx="37">
                  <c:v>5.60787E-3</c:v>
                </c:pt>
                <c:pt idx="38">
                  <c:v>5.4065299999999997E-3</c:v>
                </c:pt>
                <c:pt idx="39">
                  <c:v>5.7368599999999999E-3</c:v>
                </c:pt>
                <c:pt idx="40">
                  <c:v>9.4045099999999996E-3</c:v>
                </c:pt>
              </c:numCache>
            </c:numRef>
          </c:yVal>
          <c:smooth val="1"/>
          <c:extLst>
            <c:ext xmlns:c16="http://schemas.microsoft.com/office/drawing/2014/chart" uri="{C3380CC4-5D6E-409C-BE32-E72D297353CC}">
              <c16:uniqueId val="{00000001-1561-4D4C-8EBC-A3E6CD383525}"/>
            </c:ext>
          </c:extLst>
        </c:ser>
        <c:ser>
          <c:idx val="1"/>
          <c:order val="1"/>
          <c:tx>
            <c:v>PQBS Compute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'PQBST Data'!$D$2:$D$42</c:f>
              <c:numCache>
                <c:formatCode>General</c:formatCode>
                <c:ptCount val="41"/>
                <c:pt idx="0">
                  <c:v>7.0400000000000004E-6</c:v>
                </c:pt>
                <c:pt idx="1">
                  <c:v>1.0592E-5</c:v>
                </c:pt>
                <c:pt idx="2">
                  <c:v>5.8617599999999999E-4</c:v>
                </c:pt>
                <c:pt idx="3">
                  <c:v>1.67808E-3</c:v>
                </c:pt>
                <c:pt idx="4">
                  <c:v>2.10758E-3</c:v>
                </c:pt>
                <c:pt idx="5">
                  <c:v>2.82643E-3</c:v>
                </c:pt>
                <c:pt idx="6">
                  <c:v>3.5473599999999998E-3</c:v>
                </c:pt>
                <c:pt idx="7">
                  <c:v>4.1940500000000004E-3</c:v>
                </c:pt>
                <c:pt idx="8">
                  <c:v>5.13453E-3</c:v>
                </c:pt>
                <c:pt idx="9">
                  <c:v>6.0981100000000003E-3</c:v>
                </c:pt>
                <c:pt idx="10">
                  <c:v>6.8598699999999997E-3</c:v>
                </c:pt>
                <c:pt idx="11">
                  <c:v>7.4312600000000003E-3</c:v>
                </c:pt>
                <c:pt idx="12">
                  <c:v>8.2948499999999994E-3</c:v>
                </c:pt>
                <c:pt idx="13">
                  <c:v>9.0288599999999997E-3</c:v>
                </c:pt>
                <c:pt idx="14">
                  <c:v>9.7410199999999995E-3</c:v>
                </c:pt>
                <c:pt idx="15">
                  <c:v>1.04563E-2</c:v>
                </c:pt>
                <c:pt idx="16">
                  <c:v>1.1028700000000001E-2</c:v>
                </c:pt>
                <c:pt idx="17">
                  <c:v>1.19145E-2</c:v>
                </c:pt>
                <c:pt idx="18">
                  <c:v>1.26383E-2</c:v>
                </c:pt>
                <c:pt idx="19">
                  <c:v>1.3343600000000001E-2</c:v>
                </c:pt>
                <c:pt idx="20">
                  <c:v>1.39052E-2</c:v>
                </c:pt>
                <c:pt idx="21">
                  <c:v>1.4770999999999999E-2</c:v>
                </c:pt>
                <c:pt idx="22">
                  <c:v>1.54929E-2</c:v>
                </c:pt>
                <c:pt idx="23">
                  <c:v>1.61929E-2</c:v>
                </c:pt>
                <c:pt idx="24">
                  <c:v>1.6877199999999998E-2</c:v>
                </c:pt>
                <c:pt idx="25">
                  <c:v>1.7589199999999999E-2</c:v>
                </c:pt>
                <c:pt idx="26">
                  <c:v>1.8312499999999999E-2</c:v>
                </c:pt>
                <c:pt idx="27">
                  <c:v>1.90204E-2</c:v>
                </c:pt>
                <c:pt idx="28">
                  <c:v>1.9908700000000001E-2</c:v>
                </c:pt>
                <c:pt idx="29">
                  <c:v>2.0549899999999999E-2</c:v>
                </c:pt>
                <c:pt idx="30">
                  <c:v>2.1178599999999999E-2</c:v>
                </c:pt>
                <c:pt idx="31">
                  <c:v>2.1900300000000001E-2</c:v>
                </c:pt>
                <c:pt idx="32">
                  <c:v>2.2609500000000001E-2</c:v>
                </c:pt>
                <c:pt idx="33">
                  <c:v>2.3337799999999999E-2</c:v>
                </c:pt>
                <c:pt idx="34">
                  <c:v>2.4102800000000001E-2</c:v>
                </c:pt>
                <c:pt idx="35">
                  <c:v>2.4776099999999999E-2</c:v>
                </c:pt>
                <c:pt idx="36">
                  <c:v>2.5489899999999999E-2</c:v>
                </c:pt>
                <c:pt idx="37">
                  <c:v>2.6428199999999999E-2</c:v>
                </c:pt>
                <c:pt idx="38">
                  <c:v>2.72651E-2</c:v>
                </c:pt>
                <c:pt idx="39">
                  <c:v>2.78576E-2</c:v>
                </c:pt>
                <c:pt idx="40">
                  <c:v>4.6825499999999999E-2</c:v>
                </c:pt>
              </c:numCache>
            </c:numRef>
          </c:yVal>
          <c:smooth val="1"/>
          <c:extLst>
            <c:ext xmlns:c16="http://schemas.microsoft.com/office/drawing/2014/chart" uri="{C3380CC4-5D6E-409C-BE32-E72D297353CC}">
              <c16:uniqueId val="{00000003-1561-4D4C-8EBC-A3E6CD383525}"/>
            </c:ext>
          </c:extLst>
        </c:ser>
        <c:ser>
          <c:idx val="2"/>
          <c:order val="2"/>
          <c:tx>
            <c:v>PQBS Total</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4-1561-4D4C-8EBC-A3E6CD38352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Number of particles, n</a:t>
                </a:r>
              </a:p>
            </c:rich>
          </c:tx>
          <c:layout>
            <c:manualLayout>
              <c:xMode val="edge"/>
              <c:yMode val="edge"/>
              <c:x val="0.43585275405528989"/>
              <c:y val="0.939905901855147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0" i="0" u="none" strike="noStrike" kern="1200" baseline="0">
                    <a:solidFill>
                      <a:sysClr val="windowText" lastClr="000000">
                        <a:lumMod val="65000"/>
                        <a:lumOff val="35000"/>
                      </a:sysClr>
                    </a:solidFill>
                  </a:rPr>
                  <a:t>Seconds per frame, t(s)</a:t>
                </a:r>
              </a:p>
            </c:rich>
          </c:tx>
          <c:layout>
            <c:manualLayout>
              <c:xMode val="edge"/>
              <c:yMode val="edge"/>
              <c:x val="6.5980921569093909E-2"/>
              <c:y val="0.41373101582116478"/>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7446260305075156"/>
          <c:y val="0.22585407474220526"/>
          <c:w val="0.12176627468394245"/>
          <c:h val="0.10448989541941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 FPS Polynomial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PQBS FPS</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2.2448441845242452E-2"/>
                  <c:y val="-0.11438283756197141"/>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Data'!$B$2:$B$42</c:f>
              <c:numCache>
                <c:formatCode>General</c:formatCode>
                <c:ptCount val="41"/>
                <c:pt idx="0">
                  <c:v>6971.45</c:v>
                </c:pt>
                <c:pt idx="1">
                  <c:v>7723.34</c:v>
                </c:pt>
                <c:pt idx="2">
                  <c:v>1088.92</c:v>
                </c:pt>
                <c:pt idx="3">
                  <c:v>509.303</c:v>
                </c:pt>
                <c:pt idx="4">
                  <c:v>332.07600000000002</c:v>
                </c:pt>
                <c:pt idx="5">
                  <c:v>234.60599999999999</c:v>
                </c:pt>
                <c:pt idx="6">
                  <c:v>179.28</c:v>
                </c:pt>
                <c:pt idx="7">
                  <c:v>143.965</c:v>
                </c:pt>
                <c:pt idx="8">
                  <c:v>125.074</c:v>
                </c:pt>
                <c:pt idx="9">
                  <c:v>108.25</c:v>
                </c:pt>
                <c:pt idx="10">
                  <c:v>96.094899999999996</c:v>
                </c:pt>
                <c:pt idx="11">
                  <c:v>86.180800000000005</c:v>
                </c:pt>
                <c:pt idx="12">
                  <c:v>77.333600000000004</c:v>
                </c:pt>
                <c:pt idx="13">
                  <c:v>71.777900000000002</c:v>
                </c:pt>
                <c:pt idx="14">
                  <c:v>66.652000000000001</c:v>
                </c:pt>
                <c:pt idx="15">
                  <c:v>61.531599999999997</c:v>
                </c:pt>
                <c:pt idx="16">
                  <c:v>57.393000000000001</c:v>
                </c:pt>
                <c:pt idx="17">
                  <c:v>51.138199999999998</c:v>
                </c:pt>
                <c:pt idx="18">
                  <c:v>50.536900000000003</c:v>
                </c:pt>
                <c:pt idx="19">
                  <c:v>46.749600000000001</c:v>
                </c:pt>
                <c:pt idx="20">
                  <c:v>45.139499999999998</c:v>
                </c:pt>
                <c:pt idx="21">
                  <c:v>42.938099999999999</c:v>
                </c:pt>
                <c:pt idx="22">
                  <c:v>40.8262</c:v>
                </c:pt>
                <c:pt idx="23">
                  <c:v>39.431100000000001</c:v>
                </c:pt>
                <c:pt idx="24">
                  <c:v>37.844299999999997</c:v>
                </c:pt>
                <c:pt idx="25">
                  <c:v>36.227600000000002</c:v>
                </c:pt>
                <c:pt idx="26">
                  <c:v>34.813600000000001</c:v>
                </c:pt>
                <c:pt idx="27">
                  <c:v>33.44</c:v>
                </c:pt>
                <c:pt idx="28">
                  <c:v>32.239400000000003</c:v>
                </c:pt>
                <c:pt idx="29">
                  <c:v>31.097899999999999</c:v>
                </c:pt>
                <c:pt idx="30">
                  <c:v>29.981300000000001</c:v>
                </c:pt>
                <c:pt idx="31">
                  <c:v>29.217700000000001</c:v>
                </c:pt>
                <c:pt idx="32">
                  <c:v>28.3508</c:v>
                </c:pt>
                <c:pt idx="33">
                  <c:v>27.349599999999999</c:v>
                </c:pt>
                <c:pt idx="34">
                  <c:v>26.722999999999999</c:v>
                </c:pt>
                <c:pt idx="35">
                  <c:v>25.809000000000001</c:v>
                </c:pt>
                <c:pt idx="36">
                  <c:v>25.020900000000001</c:v>
                </c:pt>
                <c:pt idx="37">
                  <c:v>24.299299999999999</c:v>
                </c:pt>
                <c:pt idx="38">
                  <c:v>23.270700000000001</c:v>
                </c:pt>
                <c:pt idx="39">
                  <c:v>23.116399999999999</c:v>
                </c:pt>
                <c:pt idx="40">
                  <c:v>14.1469</c:v>
                </c:pt>
              </c:numCache>
            </c:numRef>
          </c:yVal>
          <c:smooth val="1"/>
          <c:extLst>
            <c:ext xmlns:c16="http://schemas.microsoft.com/office/drawing/2014/chart" uri="{C3380CC4-5D6E-409C-BE32-E72D297353CC}">
              <c16:uniqueId val="{00000001-E0A8-419C-890F-8FF4637BB5FC}"/>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Frames</a:t>
                </a:r>
                <a:r>
                  <a:rPr lang="en-US" baseline="0"/>
                  <a:t> Per Second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power"/>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Data'!$G$4:$G$42</c:f>
              <c:numCache>
                <c:formatCode>General</c:formatCode>
                <c:ptCount val="39"/>
                <c:pt idx="0">
                  <c:v>148480</c:v>
                </c:pt>
                <c:pt idx="1">
                  <c:v>312320</c:v>
                </c:pt>
                <c:pt idx="2">
                  <c:v>459776</c:v>
                </c:pt>
                <c:pt idx="3">
                  <c:v>623616</c:v>
                </c:pt>
                <c:pt idx="4">
                  <c:v>787456</c:v>
                </c:pt>
                <c:pt idx="5">
                  <c:v>934912</c:v>
                </c:pt>
                <c:pt idx="6">
                  <c:v>1098752</c:v>
                </c:pt>
                <c:pt idx="7">
                  <c:v>1262592</c:v>
                </c:pt>
                <c:pt idx="8">
                  <c:v>1426432</c:v>
                </c:pt>
                <c:pt idx="9">
                  <c:v>1590272</c:v>
                </c:pt>
                <c:pt idx="10">
                  <c:v>1754112</c:v>
                </c:pt>
                <c:pt idx="11">
                  <c:v>1917952</c:v>
                </c:pt>
                <c:pt idx="12">
                  <c:v>2081792</c:v>
                </c:pt>
                <c:pt idx="13">
                  <c:v>2245632</c:v>
                </c:pt>
                <c:pt idx="14">
                  <c:v>2409472</c:v>
                </c:pt>
                <c:pt idx="15">
                  <c:v>2573312</c:v>
                </c:pt>
                <c:pt idx="16">
                  <c:v>2737152</c:v>
                </c:pt>
                <c:pt idx="17">
                  <c:v>2900992</c:v>
                </c:pt>
                <c:pt idx="18">
                  <c:v>3064832</c:v>
                </c:pt>
                <c:pt idx="19">
                  <c:v>3228672</c:v>
                </c:pt>
                <c:pt idx="20">
                  <c:v>3392512</c:v>
                </c:pt>
                <c:pt idx="21">
                  <c:v>3539968</c:v>
                </c:pt>
                <c:pt idx="22">
                  <c:v>3703808</c:v>
                </c:pt>
                <c:pt idx="23">
                  <c:v>3867648</c:v>
                </c:pt>
                <c:pt idx="24">
                  <c:v>4031488</c:v>
                </c:pt>
                <c:pt idx="25">
                  <c:v>4195328</c:v>
                </c:pt>
                <c:pt idx="26">
                  <c:v>4359168</c:v>
                </c:pt>
                <c:pt idx="27">
                  <c:v>4523008</c:v>
                </c:pt>
                <c:pt idx="28">
                  <c:v>4686848</c:v>
                </c:pt>
                <c:pt idx="29">
                  <c:v>4850688</c:v>
                </c:pt>
                <c:pt idx="30">
                  <c:v>5014528</c:v>
                </c:pt>
                <c:pt idx="31">
                  <c:v>5178368</c:v>
                </c:pt>
                <c:pt idx="32">
                  <c:v>5342208</c:v>
                </c:pt>
                <c:pt idx="33">
                  <c:v>5506048</c:v>
                </c:pt>
                <c:pt idx="34">
                  <c:v>5669888</c:v>
                </c:pt>
                <c:pt idx="35">
                  <c:v>5833728</c:v>
                </c:pt>
                <c:pt idx="36">
                  <c:v>5997568</c:v>
                </c:pt>
                <c:pt idx="37">
                  <c:v>6161408</c:v>
                </c:pt>
                <c:pt idx="38">
                  <c:v>10470400</c:v>
                </c:pt>
              </c:numCache>
            </c:numRef>
          </c:xVal>
          <c:yVal>
            <c:numRef>
              <c:f>'PQBR Data'!$C$4:$C$42</c:f>
              <c:numCache>
                <c:formatCode>General</c:formatCode>
                <c:ptCount val="39"/>
                <c:pt idx="0">
                  <c:v>9.6341099999999995E-4</c:v>
                </c:pt>
                <c:pt idx="1">
                  <c:v>2.0434799999999999E-3</c:v>
                </c:pt>
                <c:pt idx="2">
                  <c:v>3.0853500000000002E-3</c:v>
                </c:pt>
                <c:pt idx="3">
                  <c:v>4.3755599999999997E-3</c:v>
                </c:pt>
                <c:pt idx="4">
                  <c:v>5.6331899999999997E-3</c:v>
                </c:pt>
                <c:pt idx="5">
                  <c:v>7.0047399999999998E-3</c:v>
                </c:pt>
                <c:pt idx="6">
                  <c:v>8.1317300000000002E-3</c:v>
                </c:pt>
                <c:pt idx="7">
                  <c:v>9.4158100000000002E-3</c:v>
                </c:pt>
                <c:pt idx="8">
                  <c:v>1.06441E-2</c:v>
                </c:pt>
                <c:pt idx="9">
                  <c:v>1.20076E-2</c:v>
                </c:pt>
                <c:pt idx="10">
                  <c:v>1.3389099999999999E-2</c:v>
                </c:pt>
                <c:pt idx="11">
                  <c:v>1.44396E-2</c:v>
                </c:pt>
                <c:pt idx="12">
                  <c:v>1.56835E-2</c:v>
                </c:pt>
                <c:pt idx="13">
                  <c:v>1.7029300000000001E-2</c:v>
                </c:pt>
                <c:pt idx="14">
                  <c:v>1.8275099999999999E-2</c:v>
                </c:pt>
                <c:pt idx="15">
                  <c:v>1.9945000000000001E-2</c:v>
                </c:pt>
                <c:pt idx="16">
                  <c:v>2.0963699999999998E-2</c:v>
                </c:pt>
                <c:pt idx="17">
                  <c:v>2.2091199999999998E-2</c:v>
                </c:pt>
                <c:pt idx="18">
                  <c:v>2.3648700000000002E-2</c:v>
                </c:pt>
                <c:pt idx="19">
                  <c:v>2.4920899999999999E-2</c:v>
                </c:pt>
                <c:pt idx="20">
                  <c:v>2.61681E-2</c:v>
                </c:pt>
                <c:pt idx="21">
                  <c:v>2.7278400000000001E-2</c:v>
                </c:pt>
                <c:pt idx="22">
                  <c:v>2.8457300000000001E-2</c:v>
                </c:pt>
                <c:pt idx="23">
                  <c:v>2.97275E-2</c:v>
                </c:pt>
                <c:pt idx="24">
                  <c:v>3.1098799999999999E-2</c:v>
                </c:pt>
                <c:pt idx="25">
                  <c:v>3.2412299999999998E-2</c:v>
                </c:pt>
                <c:pt idx="26">
                  <c:v>3.3645099999999997E-2</c:v>
                </c:pt>
                <c:pt idx="27">
                  <c:v>3.4944900000000001E-2</c:v>
                </c:pt>
                <c:pt idx="28">
                  <c:v>3.6509399999999997E-2</c:v>
                </c:pt>
                <c:pt idx="29">
                  <c:v>3.7696899999999998E-2</c:v>
                </c:pt>
                <c:pt idx="30">
                  <c:v>3.8924399999999998E-2</c:v>
                </c:pt>
                <c:pt idx="31">
                  <c:v>4.0236500000000001E-2</c:v>
                </c:pt>
                <c:pt idx="32">
                  <c:v>4.1564400000000001E-2</c:v>
                </c:pt>
                <c:pt idx="33">
                  <c:v>4.3049400000000002E-2</c:v>
                </c:pt>
                <c:pt idx="34">
                  <c:v>4.4488300000000001E-2</c:v>
                </c:pt>
                <c:pt idx="35">
                  <c:v>4.5815399999999999E-2</c:v>
                </c:pt>
                <c:pt idx="36">
                  <c:v>4.79809E-2</c:v>
                </c:pt>
                <c:pt idx="37">
                  <c:v>4.8210799999999998E-2</c:v>
                </c:pt>
                <c:pt idx="38">
                  <c:v>8.5180400000000003E-2</c:v>
                </c:pt>
              </c:numCache>
            </c:numRef>
          </c:yVal>
          <c:smooth val="1"/>
          <c:extLst>
            <c:ext xmlns:c16="http://schemas.microsoft.com/office/drawing/2014/chart" uri="{C3380CC4-5D6E-409C-BE32-E72D297353CC}">
              <c16:uniqueId val="{00000001-9F63-4BC2-99CD-13CCE546D6FD}"/>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FIG3 - PQBR SPF </a:t>
            </a:r>
            <a:r>
              <a:rPr lang="en-US"/>
              <a:t>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642B-49DA-BB9D-E8F45DA073F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FIG4 - PQBR 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5640462201624987"/>
                  <c:y val="-0.1831831178820757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C00F-478D-9655-91CBBBB41B1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FIG4 - PQBR SPF Linearity All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836895982075082"/>
          <c:y val="0.11270470841652816"/>
          <c:w val="0.74811632506245829"/>
          <c:h val="0.6930364712941014"/>
        </c:manualLayout>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1275" cap="rnd">
                <a:solidFill>
                  <a:srgbClr val="FF0000"/>
                </a:solidFill>
                <a:prstDash val="sysDash"/>
              </a:ln>
              <a:effectLst/>
            </c:spPr>
            <c:trendlineType val="power"/>
            <c:dispRSqr val="1"/>
            <c:dispEq val="1"/>
            <c:trendlineLbl>
              <c:layout>
                <c:manualLayout>
                  <c:x val="-0.29277316771475431"/>
                  <c:y val="-0.39370183540039139"/>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Data'!$G$3:$G$42</c:f>
              <c:numCache>
                <c:formatCode>General</c:formatCode>
                <c:ptCount val="40"/>
                <c:pt idx="0">
                  <c:v>1024</c:v>
                </c:pt>
                <c:pt idx="1">
                  <c:v>148480</c:v>
                </c:pt>
                <c:pt idx="2">
                  <c:v>312320</c:v>
                </c:pt>
                <c:pt idx="3">
                  <c:v>459776</c:v>
                </c:pt>
                <c:pt idx="4">
                  <c:v>623616</c:v>
                </c:pt>
                <c:pt idx="5">
                  <c:v>787456</c:v>
                </c:pt>
                <c:pt idx="6">
                  <c:v>934912</c:v>
                </c:pt>
                <c:pt idx="7">
                  <c:v>1098752</c:v>
                </c:pt>
                <c:pt idx="8">
                  <c:v>1262592</c:v>
                </c:pt>
                <c:pt idx="9">
                  <c:v>1426432</c:v>
                </c:pt>
                <c:pt idx="10">
                  <c:v>1590272</c:v>
                </c:pt>
                <c:pt idx="11">
                  <c:v>1754112</c:v>
                </c:pt>
                <c:pt idx="12">
                  <c:v>1917952</c:v>
                </c:pt>
                <c:pt idx="13">
                  <c:v>2081792</c:v>
                </c:pt>
                <c:pt idx="14">
                  <c:v>2245632</c:v>
                </c:pt>
                <c:pt idx="15">
                  <c:v>2409472</c:v>
                </c:pt>
                <c:pt idx="16">
                  <c:v>2573312</c:v>
                </c:pt>
                <c:pt idx="17">
                  <c:v>2737152</c:v>
                </c:pt>
                <c:pt idx="18">
                  <c:v>2900992</c:v>
                </c:pt>
                <c:pt idx="19">
                  <c:v>3064832</c:v>
                </c:pt>
                <c:pt idx="20">
                  <c:v>3228672</c:v>
                </c:pt>
                <c:pt idx="21">
                  <c:v>3392512</c:v>
                </c:pt>
                <c:pt idx="22">
                  <c:v>3539968</c:v>
                </c:pt>
                <c:pt idx="23">
                  <c:v>3703808</c:v>
                </c:pt>
                <c:pt idx="24">
                  <c:v>3867648</c:v>
                </c:pt>
                <c:pt idx="25">
                  <c:v>4031488</c:v>
                </c:pt>
                <c:pt idx="26">
                  <c:v>4195328</c:v>
                </c:pt>
                <c:pt idx="27">
                  <c:v>4359168</c:v>
                </c:pt>
                <c:pt idx="28">
                  <c:v>4523008</c:v>
                </c:pt>
                <c:pt idx="29">
                  <c:v>4686848</c:v>
                </c:pt>
                <c:pt idx="30">
                  <c:v>4850688</c:v>
                </c:pt>
                <c:pt idx="31">
                  <c:v>5014528</c:v>
                </c:pt>
                <c:pt idx="32">
                  <c:v>5178368</c:v>
                </c:pt>
                <c:pt idx="33">
                  <c:v>5342208</c:v>
                </c:pt>
                <c:pt idx="34">
                  <c:v>5506048</c:v>
                </c:pt>
                <c:pt idx="35">
                  <c:v>5669888</c:v>
                </c:pt>
                <c:pt idx="36">
                  <c:v>5833728</c:v>
                </c:pt>
                <c:pt idx="37">
                  <c:v>5997568</c:v>
                </c:pt>
                <c:pt idx="38">
                  <c:v>6161408</c:v>
                </c:pt>
                <c:pt idx="39">
                  <c:v>10470400</c:v>
                </c:pt>
              </c:numCache>
            </c:numRef>
          </c:xVal>
          <c:yVal>
            <c:numRef>
              <c:f>'PQBR Data'!$P$3:$P$42</c:f>
              <c:numCache>
                <c:formatCode>General</c:formatCode>
                <c:ptCount val="40"/>
                <c:pt idx="0">
                  <c:v>1.42109375E-7</c:v>
                </c:pt>
                <c:pt idx="1">
                  <c:v>6.4884900323275863E-9</c:v>
                </c:pt>
                <c:pt idx="2">
                  <c:v>6.5429047131147539E-9</c:v>
                </c:pt>
                <c:pt idx="3">
                  <c:v>6.7105503549554565E-9</c:v>
                </c:pt>
                <c:pt idx="4">
                  <c:v>7.0164331896551723E-9</c:v>
                </c:pt>
                <c:pt idx="5">
                  <c:v>7.1536568392392716E-9</c:v>
                </c:pt>
                <c:pt idx="6">
                  <c:v>7.4924057023548745E-9</c:v>
                </c:pt>
                <c:pt idx="7">
                  <c:v>7.4008784511882571E-9</c:v>
                </c:pt>
                <c:pt idx="8">
                  <c:v>7.4575238873682077E-9</c:v>
                </c:pt>
                <c:pt idx="9">
                  <c:v>7.4620451588298631E-9</c:v>
                </c:pt>
                <c:pt idx="10">
                  <c:v>7.5506580006439149E-9</c:v>
                </c:pt>
                <c:pt idx="11">
                  <c:v>7.6329789659953291E-9</c:v>
                </c:pt>
                <c:pt idx="12">
                  <c:v>7.5286555659370003E-9</c:v>
                </c:pt>
                <c:pt idx="13">
                  <c:v>7.5336536983521887E-9</c:v>
                </c:pt>
                <c:pt idx="14">
                  <c:v>7.5832994898540809E-9</c:v>
                </c:pt>
                <c:pt idx="15">
                  <c:v>7.5846907538249043E-9</c:v>
                </c:pt>
                <c:pt idx="16">
                  <c:v>7.750711923000399E-9</c:v>
                </c:pt>
                <c:pt idx="17">
                  <c:v>7.6589462331649831E-9</c:v>
                </c:pt>
                <c:pt idx="18">
                  <c:v>7.6150503000352976E-9</c:v>
                </c:pt>
                <c:pt idx="19">
                  <c:v>7.7161488786334787E-9</c:v>
                </c:pt>
                <c:pt idx="20">
                  <c:v>7.7186223933555343E-9</c:v>
                </c:pt>
                <c:pt idx="21">
                  <c:v>7.7134878225928165E-9</c:v>
                </c:pt>
                <c:pt idx="22">
                  <c:v>7.7058323691061615E-9</c:v>
                </c:pt>
                <c:pt idx="23">
                  <c:v>7.6832546395493498E-9</c:v>
                </c:pt>
                <c:pt idx="24">
                  <c:v>7.6861958482261051E-9</c:v>
                </c:pt>
                <c:pt idx="25">
                  <c:v>7.7139755842011689E-9</c:v>
                </c:pt>
                <c:pt idx="26">
                  <c:v>7.7258083277398088E-9</c:v>
                </c:pt>
                <c:pt idx="27">
                  <c:v>7.7182388932933983E-9</c:v>
                </c:pt>
                <c:pt idx="28">
                  <c:v>7.7260309953022419E-9</c:v>
                </c:pt>
                <c:pt idx="29">
                  <c:v>7.789755503058772E-9</c:v>
                </c:pt>
                <c:pt idx="30">
                  <c:v>7.7714542761769053E-9</c:v>
                </c:pt>
                <c:pt idx="31">
                  <c:v>7.7623257861956294E-9</c:v>
                </c:pt>
                <c:pt idx="32">
                  <c:v>7.770112127990904E-9</c:v>
                </c:pt>
                <c:pt idx="33">
                  <c:v>7.7803784502587701E-9</c:v>
                </c:pt>
                <c:pt idx="34">
                  <c:v>7.8185660568160694E-9</c:v>
                </c:pt>
                <c:pt idx="35">
                  <c:v>7.846416013861297E-9</c:v>
                </c:pt>
                <c:pt idx="36">
                  <c:v>7.8535372235387049E-9</c:v>
                </c:pt>
                <c:pt idx="37">
                  <c:v>8.0000593573928626E-9</c:v>
                </c:pt>
                <c:pt idx="38">
                  <c:v>7.8246400822669103E-9</c:v>
                </c:pt>
                <c:pt idx="39">
                  <c:v>8.135352995110024E-9</c:v>
                </c:pt>
              </c:numCache>
            </c:numRef>
          </c:yVal>
          <c:smooth val="1"/>
          <c:extLst>
            <c:ext xmlns:c16="http://schemas.microsoft.com/office/drawing/2014/chart" uri="{C3380CC4-5D6E-409C-BE32-E72D297353CC}">
              <c16:uniqueId val="{00000001-B47C-441D-83BB-EA07B593D464}"/>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FIG4 - PQBR SPF Linearity All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836895982075082"/>
          <c:y val="0.11270470841652816"/>
          <c:w val="0.74811632506245829"/>
          <c:h val="0.6930364712941014"/>
        </c:manualLayout>
      </c:layout>
      <c:scatterChart>
        <c:scatterStyle val="smoothMarker"/>
        <c:varyColors val="0"/>
        <c:ser>
          <c:idx val="0"/>
          <c:order val="0"/>
          <c:tx>
            <c:v>PQBR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1275" cap="rnd">
                <a:solidFill>
                  <a:srgbClr val="FF0000"/>
                </a:solidFill>
                <a:prstDash val="sysDash"/>
              </a:ln>
              <a:effectLst/>
            </c:spPr>
            <c:trendlineType val="log"/>
            <c:dispRSqr val="1"/>
            <c:dispEq val="1"/>
            <c:trendlineLbl>
              <c:layout>
                <c:manualLayout>
                  <c:x val="-0.45280006329257433"/>
                  <c:y val="0.19261176891223056"/>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Data'!$G$4:$G$42</c:f>
              <c:numCache>
                <c:formatCode>General</c:formatCode>
                <c:ptCount val="39"/>
                <c:pt idx="0">
                  <c:v>148480</c:v>
                </c:pt>
                <c:pt idx="1">
                  <c:v>312320</c:v>
                </c:pt>
                <c:pt idx="2">
                  <c:v>459776</c:v>
                </c:pt>
                <c:pt idx="3">
                  <c:v>623616</c:v>
                </c:pt>
                <c:pt idx="4">
                  <c:v>787456</c:v>
                </c:pt>
                <c:pt idx="5">
                  <c:v>934912</c:v>
                </c:pt>
                <c:pt idx="6">
                  <c:v>1098752</c:v>
                </c:pt>
                <c:pt idx="7">
                  <c:v>1262592</c:v>
                </c:pt>
                <c:pt idx="8">
                  <c:v>1426432</c:v>
                </c:pt>
                <c:pt idx="9">
                  <c:v>1590272</c:v>
                </c:pt>
                <c:pt idx="10">
                  <c:v>1754112</c:v>
                </c:pt>
                <c:pt idx="11">
                  <c:v>1917952</c:v>
                </c:pt>
                <c:pt idx="12">
                  <c:v>2081792</c:v>
                </c:pt>
                <c:pt idx="13">
                  <c:v>2245632</c:v>
                </c:pt>
                <c:pt idx="14">
                  <c:v>2409472</c:v>
                </c:pt>
                <c:pt idx="15">
                  <c:v>2573312</c:v>
                </c:pt>
                <c:pt idx="16">
                  <c:v>2737152</c:v>
                </c:pt>
                <c:pt idx="17">
                  <c:v>2900992</c:v>
                </c:pt>
                <c:pt idx="18">
                  <c:v>3064832</c:v>
                </c:pt>
                <c:pt idx="19">
                  <c:v>3228672</c:v>
                </c:pt>
                <c:pt idx="20">
                  <c:v>3392512</c:v>
                </c:pt>
                <c:pt idx="21">
                  <c:v>3539968</c:v>
                </c:pt>
                <c:pt idx="22">
                  <c:v>3703808</c:v>
                </c:pt>
                <c:pt idx="23">
                  <c:v>3867648</c:v>
                </c:pt>
                <c:pt idx="24">
                  <c:v>4031488</c:v>
                </c:pt>
                <c:pt idx="25">
                  <c:v>4195328</c:v>
                </c:pt>
                <c:pt idx="26">
                  <c:v>4359168</c:v>
                </c:pt>
                <c:pt idx="27">
                  <c:v>4523008</c:v>
                </c:pt>
                <c:pt idx="28">
                  <c:v>4686848</c:v>
                </c:pt>
                <c:pt idx="29">
                  <c:v>4850688</c:v>
                </c:pt>
                <c:pt idx="30">
                  <c:v>5014528</c:v>
                </c:pt>
                <c:pt idx="31">
                  <c:v>5178368</c:v>
                </c:pt>
                <c:pt idx="32">
                  <c:v>5342208</c:v>
                </c:pt>
                <c:pt idx="33">
                  <c:v>5506048</c:v>
                </c:pt>
                <c:pt idx="34">
                  <c:v>5669888</c:v>
                </c:pt>
                <c:pt idx="35">
                  <c:v>5833728</c:v>
                </c:pt>
                <c:pt idx="36">
                  <c:v>5997568</c:v>
                </c:pt>
                <c:pt idx="37">
                  <c:v>6161408</c:v>
                </c:pt>
                <c:pt idx="38">
                  <c:v>10470400</c:v>
                </c:pt>
              </c:numCache>
            </c:numRef>
          </c:xVal>
          <c:yVal>
            <c:numRef>
              <c:f>'PQBR Data'!$P$4:$P$42</c:f>
              <c:numCache>
                <c:formatCode>General</c:formatCode>
                <c:ptCount val="39"/>
                <c:pt idx="0">
                  <c:v>6.4884900323275863E-9</c:v>
                </c:pt>
                <c:pt idx="1">
                  <c:v>6.5429047131147539E-9</c:v>
                </c:pt>
                <c:pt idx="2">
                  <c:v>6.7105503549554565E-9</c:v>
                </c:pt>
                <c:pt idx="3">
                  <c:v>7.0164331896551723E-9</c:v>
                </c:pt>
                <c:pt idx="4">
                  <c:v>7.1536568392392716E-9</c:v>
                </c:pt>
                <c:pt idx="5">
                  <c:v>7.4924057023548745E-9</c:v>
                </c:pt>
                <c:pt idx="6">
                  <c:v>7.4008784511882571E-9</c:v>
                </c:pt>
                <c:pt idx="7">
                  <c:v>7.4575238873682077E-9</c:v>
                </c:pt>
                <c:pt idx="8">
                  <c:v>7.4620451588298631E-9</c:v>
                </c:pt>
                <c:pt idx="9">
                  <c:v>7.5506580006439149E-9</c:v>
                </c:pt>
                <c:pt idx="10">
                  <c:v>7.6329789659953291E-9</c:v>
                </c:pt>
                <c:pt idx="11">
                  <c:v>7.5286555659370003E-9</c:v>
                </c:pt>
                <c:pt idx="12">
                  <c:v>7.5336536983521887E-9</c:v>
                </c:pt>
                <c:pt idx="13">
                  <c:v>7.5832994898540809E-9</c:v>
                </c:pt>
                <c:pt idx="14">
                  <c:v>7.5846907538249043E-9</c:v>
                </c:pt>
                <c:pt idx="15">
                  <c:v>7.750711923000399E-9</c:v>
                </c:pt>
                <c:pt idx="16">
                  <c:v>7.6589462331649831E-9</c:v>
                </c:pt>
                <c:pt idx="17">
                  <c:v>7.6150503000352976E-9</c:v>
                </c:pt>
                <c:pt idx="18">
                  <c:v>7.7161488786334787E-9</c:v>
                </c:pt>
                <c:pt idx="19">
                  <c:v>7.7186223933555343E-9</c:v>
                </c:pt>
                <c:pt idx="20">
                  <c:v>7.7134878225928165E-9</c:v>
                </c:pt>
                <c:pt idx="21">
                  <c:v>7.7058323691061615E-9</c:v>
                </c:pt>
                <c:pt idx="22">
                  <c:v>7.6832546395493498E-9</c:v>
                </c:pt>
                <c:pt idx="23">
                  <c:v>7.6861958482261051E-9</c:v>
                </c:pt>
                <c:pt idx="24">
                  <c:v>7.7139755842011689E-9</c:v>
                </c:pt>
                <c:pt idx="25">
                  <c:v>7.7258083277398088E-9</c:v>
                </c:pt>
                <c:pt idx="26">
                  <c:v>7.7182388932933983E-9</c:v>
                </c:pt>
                <c:pt idx="27">
                  <c:v>7.7260309953022419E-9</c:v>
                </c:pt>
                <c:pt idx="28">
                  <c:v>7.789755503058772E-9</c:v>
                </c:pt>
                <c:pt idx="29">
                  <c:v>7.7714542761769053E-9</c:v>
                </c:pt>
                <c:pt idx="30">
                  <c:v>7.7623257861956294E-9</c:v>
                </c:pt>
                <c:pt idx="31">
                  <c:v>7.770112127990904E-9</c:v>
                </c:pt>
                <c:pt idx="32">
                  <c:v>7.7803784502587701E-9</c:v>
                </c:pt>
                <c:pt idx="33">
                  <c:v>7.8185660568160694E-9</c:v>
                </c:pt>
                <c:pt idx="34">
                  <c:v>7.846416013861297E-9</c:v>
                </c:pt>
                <c:pt idx="35">
                  <c:v>7.8535372235387049E-9</c:v>
                </c:pt>
                <c:pt idx="36">
                  <c:v>8.0000593573928626E-9</c:v>
                </c:pt>
                <c:pt idx="37">
                  <c:v>7.8246400822669103E-9</c:v>
                </c:pt>
                <c:pt idx="38">
                  <c:v>8.135352995110024E-9</c:v>
                </c:pt>
              </c:numCache>
            </c:numRef>
          </c:yVal>
          <c:smooth val="1"/>
          <c:extLst>
            <c:ext xmlns:c16="http://schemas.microsoft.com/office/drawing/2014/chart" uri="{C3380CC4-5D6E-409C-BE32-E72D297353CC}">
              <c16:uniqueId val="{00000001-9F99-4582-9636-9CE9FFFF1F5F}"/>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 and PQBR SPF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095633500357911E-2"/>
          <c:y val="0.10010796221322538"/>
          <c:w val="0.8419606458283625"/>
          <c:h val="0.78026097952330853"/>
        </c:manualLayout>
      </c:layout>
      <c:scatterChart>
        <c:scatterStyle val="smoothMarker"/>
        <c:varyColors val="0"/>
        <c:ser>
          <c:idx val="0"/>
          <c:order val="0"/>
          <c:tx>
            <c:v>PQBR FPS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'PQBR Data'!$C$2:$C$42</c:f>
              <c:numCache>
                <c:formatCode>General</c:formatCode>
                <c:ptCount val="41"/>
                <c:pt idx="0">
                  <c:v>1.8787099999999999E-4</c:v>
                </c:pt>
                <c:pt idx="1">
                  <c:v>1.4552E-4</c:v>
                </c:pt>
                <c:pt idx="2">
                  <c:v>9.6341099999999995E-4</c:v>
                </c:pt>
                <c:pt idx="3">
                  <c:v>2.0434799999999999E-3</c:v>
                </c:pt>
                <c:pt idx="4">
                  <c:v>3.0853500000000002E-3</c:v>
                </c:pt>
                <c:pt idx="5">
                  <c:v>4.3755599999999997E-3</c:v>
                </c:pt>
                <c:pt idx="6">
                  <c:v>5.6331899999999997E-3</c:v>
                </c:pt>
                <c:pt idx="7">
                  <c:v>7.0047399999999998E-3</c:v>
                </c:pt>
                <c:pt idx="8">
                  <c:v>8.1317300000000002E-3</c:v>
                </c:pt>
                <c:pt idx="9">
                  <c:v>9.4158100000000002E-3</c:v>
                </c:pt>
                <c:pt idx="10">
                  <c:v>1.06441E-2</c:v>
                </c:pt>
                <c:pt idx="11">
                  <c:v>1.20076E-2</c:v>
                </c:pt>
                <c:pt idx="12">
                  <c:v>1.3389099999999999E-2</c:v>
                </c:pt>
                <c:pt idx="13">
                  <c:v>1.44396E-2</c:v>
                </c:pt>
                <c:pt idx="14">
                  <c:v>1.56835E-2</c:v>
                </c:pt>
                <c:pt idx="15">
                  <c:v>1.7029300000000001E-2</c:v>
                </c:pt>
                <c:pt idx="16">
                  <c:v>1.8275099999999999E-2</c:v>
                </c:pt>
                <c:pt idx="17">
                  <c:v>1.9945000000000001E-2</c:v>
                </c:pt>
                <c:pt idx="18">
                  <c:v>2.0963699999999998E-2</c:v>
                </c:pt>
                <c:pt idx="19">
                  <c:v>2.2091199999999998E-2</c:v>
                </c:pt>
                <c:pt idx="20">
                  <c:v>2.3648700000000002E-2</c:v>
                </c:pt>
                <c:pt idx="21">
                  <c:v>2.4920899999999999E-2</c:v>
                </c:pt>
                <c:pt idx="22">
                  <c:v>2.61681E-2</c:v>
                </c:pt>
                <c:pt idx="23">
                  <c:v>2.7278400000000001E-2</c:v>
                </c:pt>
                <c:pt idx="24">
                  <c:v>2.8457300000000001E-2</c:v>
                </c:pt>
                <c:pt idx="25">
                  <c:v>2.97275E-2</c:v>
                </c:pt>
                <c:pt idx="26">
                  <c:v>3.1098799999999999E-2</c:v>
                </c:pt>
                <c:pt idx="27">
                  <c:v>3.2412299999999998E-2</c:v>
                </c:pt>
                <c:pt idx="28">
                  <c:v>3.3645099999999997E-2</c:v>
                </c:pt>
                <c:pt idx="29">
                  <c:v>3.4944900000000001E-2</c:v>
                </c:pt>
                <c:pt idx="30">
                  <c:v>3.6509399999999997E-2</c:v>
                </c:pt>
                <c:pt idx="31">
                  <c:v>3.7696899999999998E-2</c:v>
                </c:pt>
                <c:pt idx="32">
                  <c:v>3.8924399999999998E-2</c:v>
                </c:pt>
                <c:pt idx="33">
                  <c:v>4.0236500000000001E-2</c:v>
                </c:pt>
                <c:pt idx="34">
                  <c:v>4.1564400000000001E-2</c:v>
                </c:pt>
                <c:pt idx="35">
                  <c:v>4.3049400000000002E-2</c:v>
                </c:pt>
                <c:pt idx="36">
                  <c:v>4.4488300000000001E-2</c:v>
                </c:pt>
                <c:pt idx="37">
                  <c:v>4.5815399999999999E-2</c:v>
                </c:pt>
                <c:pt idx="38">
                  <c:v>4.79809E-2</c:v>
                </c:pt>
                <c:pt idx="39">
                  <c:v>4.8210799999999998E-2</c:v>
                </c:pt>
                <c:pt idx="40">
                  <c:v>8.5180400000000003E-2</c:v>
                </c:pt>
              </c:numCache>
            </c:numRef>
          </c:yVal>
          <c:smooth val="1"/>
          <c:extLst>
            <c:ext xmlns:c16="http://schemas.microsoft.com/office/drawing/2014/chart" uri="{C3380CC4-5D6E-409C-BE32-E72D297353CC}">
              <c16:uniqueId val="{00000001-96D5-405C-B98F-1AF46D785F9A}"/>
            </c:ext>
          </c:extLst>
        </c:ser>
        <c:ser>
          <c:idx val="1"/>
          <c:order val="1"/>
          <c:tx>
            <c:v>PQBS FPS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'PQBS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Data'!$C$2:$C$42</c:f>
              <c:numCache>
                <c:formatCode>General</c:formatCode>
                <c:ptCount val="41"/>
                <c:pt idx="0">
                  <c:v>1.3638999999999999E-4</c:v>
                </c:pt>
                <c:pt idx="1">
                  <c:v>1.2880500000000001E-4</c:v>
                </c:pt>
                <c:pt idx="2">
                  <c:v>8.4250000000000004E-4</c:v>
                </c:pt>
                <c:pt idx="3">
                  <c:v>1.89693E-3</c:v>
                </c:pt>
                <c:pt idx="4">
                  <c:v>2.8176400000000002E-3</c:v>
                </c:pt>
                <c:pt idx="5">
                  <c:v>3.89215E-3</c:v>
                </c:pt>
                <c:pt idx="6">
                  <c:v>4.6515999999999997E-3</c:v>
                </c:pt>
                <c:pt idx="7">
                  <c:v>5.5022500000000002E-3</c:v>
                </c:pt>
                <c:pt idx="8">
                  <c:v>6.4584999999999998E-3</c:v>
                </c:pt>
                <c:pt idx="9">
                  <c:v>7.3743300000000001E-3</c:v>
                </c:pt>
                <c:pt idx="10">
                  <c:v>8.3865499999999996E-3</c:v>
                </c:pt>
                <c:pt idx="11">
                  <c:v>9.1552300000000003E-3</c:v>
                </c:pt>
                <c:pt idx="12">
                  <c:v>1.0059800000000001E-2</c:v>
                </c:pt>
                <c:pt idx="13">
                  <c:v>1.10122E-2</c:v>
                </c:pt>
                <c:pt idx="14">
                  <c:v>1.1902599999999999E-2</c:v>
                </c:pt>
                <c:pt idx="15">
                  <c:v>1.2866499999999999E-2</c:v>
                </c:pt>
                <c:pt idx="16">
                  <c:v>1.3696699999999999E-2</c:v>
                </c:pt>
                <c:pt idx="17">
                  <c:v>1.46757E-2</c:v>
                </c:pt>
                <c:pt idx="18">
                  <c:v>1.5502200000000001E-2</c:v>
                </c:pt>
                <c:pt idx="19">
                  <c:v>1.6559000000000001E-2</c:v>
                </c:pt>
                <c:pt idx="20">
                  <c:v>1.7507600000000002E-2</c:v>
                </c:pt>
                <c:pt idx="21">
                  <c:v>1.8317799999999999E-2</c:v>
                </c:pt>
                <c:pt idx="22">
                  <c:v>1.9149200000000002E-2</c:v>
                </c:pt>
                <c:pt idx="23">
                  <c:v>2.01589E-2</c:v>
                </c:pt>
                <c:pt idx="24">
                  <c:v>2.0879700000000001E-2</c:v>
                </c:pt>
                <c:pt idx="25">
                  <c:v>2.17579E-2</c:v>
                </c:pt>
                <c:pt idx="26">
                  <c:v>2.27545E-2</c:v>
                </c:pt>
                <c:pt idx="27">
                  <c:v>2.35485E-2</c:v>
                </c:pt>
                <c:pt idx="28">
                  <c:v>2.4558900000000002E-2</c:v>
                </c:pt>
                <c:pt idx="29">
                  <c:v>2.5381000000000001E-2</c:v>
                </c:pt>
                <c:pt idx="30">
                  <c:v>2.61132E-2</c:v>
                </c:pt>
                <c:pt idx="31">
                  <c:v>2.7206999999999999E-2</c:v>
                </c:pt>
                <c:pt idx="32">
                  <c:v>2.81888E-2</c:v>
                </c:pt>
                <c:pt idx="33">
                  <c:v>2.9095300000000001E-2</c:v>
                </c:pt>
                <c:pt idx="34">
                  <c:v>3.0072600000000001E-2</c:v>
                </c:pt>
                <c:pt idx="35">
                  <c:v>3.11098E-2</c:v>
                </c:pt>
                <c:pt idx="36">
                  <c:v>3.1973099999999997E-2</c:v>
                </c:pt>
                <c:pt idx="37">
                  <c:v>3.2868700000000001E-2</c:v>
                </c:pt>
                <c:pt idx="38">
                  <c:v>3.3830499999999999E-2</c:v>
                </c:pt>
                <c:pt idx="39">
                  <c:v>3.4882799999999999E-2</c:v>
                </c:pt>
                <c:pt idx="40">
                  <c:v>5.9091400000000002E-2</c:v>
                </c:pt>
              </c:numCache>
            </c:numRef>
          </c:yVal>
          <c:smooth val="1"/>
          <c:extLst>
            <c:ext xmlns:c16="http://schemas.microsoft.com/office/drawing/2014/chart" uri="{C3380CC4-5D6E-409C-BE32-E72D297353CC}">
              <c16:uniqueId val="{00000002-96D5-405C-B98F-1AF46D785F9A}"/>
            </c:ext>
          </c:extLst>
        </c:ser>
        <c:ser>
          <c:idx val="2"/>
          <c:order val="2"/>
          <c:tx>
            <c:v>PQBS-PQBR</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34925" cap="rnd">
                <a:solidFill>
                  <a:srgbClr val="FF0000"/>
                </a:solidFill>
                <a:prstDash val="sysDash"/>
              </a:ln>
              <a:effectLst/>
            </c:spPr>
            <c:trendlineType val="poly"/>
            <c:order val="2"/>
            <c:intercept val="0"/>
            <c:dispRSqr val="1"/>
            <c:dispEq val="1"/>
            <c:trendlineLbl>
              <c:layout>
                <c:manualLayout>
                  <c:x val="2.7352962697844589E-2"/>
                  <c:y val="-3.972159350526528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'PQBR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'PQBS vs PQBR'!$W$2:$W$42</c:f>
              <c:numCache>
                <c:formatCode>General</c:formatCode>
                <c:ptCount val="41"/>
                <c:pt idx="0">
                  <c:v>5.1481000000000004E-5</c:v>
                </c:pt>
                <c:pt idx="1">
                  <c:v>1.6714999999999992E-5</c:v>
                </c:pt>
                <c:pt idx="2">
                  <c:v>1.2091099999999991E-4</c:v>
                </c:pt>
                <c:pt idx="3">
                  <c:v>1.4654999999999985E-4</c:v>
                </c:pt>
                <c:pt idx="4">
                  <c:v>2.6771E-4</c:v>
                </c:pt>
                <c:pt idx="5">
                  <c:v>4.8340999999999966E-4</c:v>
                </c:pt>
                <c:pt idx="6">
                  <c:v>9.8159000000000007E-4</c:v>
                </c:pt>
                <c:pt idx="7">
                  <c:v>1.5024899999999996E-3</c:v>
                </c:pt>
                <c:pt idx="8">
                  <c:v>1.6732300000000004E-3</c:v>
                </c:pt>
                <c:pt idx="9">
                  <c:v>2.04148E-3</c:v>
                </c:pt>
                <c:pt idx="10">
                  <c:v>2.2575500000000005E-3</c:v>
                </c:pt>
                <c:pt idx="11">
                  <c:v>2.8523699999999999E-3</c:v>
                </c:pt>
                <c:pt idx="12">
                  <c:v>3.3292999999999986E-3</c:v>
                </c:pt>
                <c:pt idx="13">
                  <c:v>3.4274000000000006E-3</c:v>
                </c:pt>
                <c:pt idx="14">
                  <c:v>3.7809000000000002E-3</c:v>
                </c:pt>
                <c:pt idx="15">
                  <c:v>4.1628000000000012E-3</c:v>
                </c:pt>
                <c:pt idx="16">
                  <c:v>4.5783999999999998E-3</c:v>
                </c:pt>
                <c:pt idx="17">
                  <c:v>5.2693000000000011E-3</c:v>
                </c:pt>
                <c:pt idx="18">
                  <c:v>5.4614999999999976E-3</c:v>
                </c:pt>
                <c:pt idx="19">
                  <c:v>5.5321999999999975E-3</c:v>
                </c:pt>
                <c:pt idx="20">
                  <c:v>6.1411E-3</c:v>
                </c:pt>
                <c:pt idx="21">
                  <c:v>6.6031000000000006E-3</c:v>
                </c:pt>
                <c:pt idx="22">
                  <c:v>7.0188999999999981E-3</c:v>
                </c:pt>
                <c:pt idx="23">
                  <c:v>7.1195000000000008E-3</c:v>
                </c:pt>
                <c:pt idx="24">
                  <c:v>7.5776000000000003E-3</c:v>
                </c:pt>
                <c:pt idx="25">
                  <c:v>7.9696000000000003E-3</c:v>
                </c:pt>
                <c:pt idx="26">
                  <c:v>8.3442999999999989E-3</c:v>
                </c:pt>
                <c:pt idx="27">
                  <c:v>8.8637999999999981E-3</c:v>
                </c:pt>
                <c:pt idx="28">
                  <c:v>9.0861999999999957E-3</c:v>
                </c:pt>
                <c:pt idx="29">
                  <c:v>9.5639000000000002E-3</c:v>
                </c:pt>
                <c:pt idx="30">
                  <c:v>1.0396199999999998E-2</c:v>
                </c:pt>
                <c:pt idx="31">
                  <c:v>1.04899E-2</c:v>
                </c:pt>
                <c:pt idx="32">
                  <c:v>1.0735599999999998E-2</c:v>
                </c:pt>
                <c:pt idx="33">
                  <c:v>1.11412E-2</c:v>
                </c:pt>
                <c:pt idx="34">
                  <c:v>1.14918E-2</c:v>
                </c:pt>
                <c:pt idx="35">
                  <c:v>1.1939600000000002E-2</c:v>
                </c:pt>
                <c:pt idx="36">
                  <c:v>1.2515200000000004E-2</c:v>
                </c:pt>
                <c:pt idx="37">
                  <c:v>1.2946699999999998E-2</c:v>
                </c:pt>
                <c:pt idx="38">
                  <c:v>1.41504E-2</c:v>
                </c:pt>
                <c:pt idx="39">
                  <c:v>1.3328E-2</c:v>
                </c:pt>
                <c:pt idx="40">
                  <c:v>2.6089000000000001E-2</c:v>
                </c:pt>
              </c:numCache>
            </c:numRef>
          </c:yVal>
          <c:smooth val="1"/>
          <c:extLst>
            <c:ext xmlns:c16="http://schemas.microsoft.com/office/drawing/2014/chart" uri="{C3380CC4-5D6E-409C-BE32-E72D297353CC}">
              <c16:uniqueId val="{00000001-89CB-4C1A-BDA3-ED39221F3968}"/>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Number of particles ,n</a:t>
                </a:r>
              </a:p>
            </c:rich>
          </c:tx>
          <c:layout>
            <c:manualLayout>
              <c:xMode val="edge"/>
              <c:yMode val="edge"/>
              <c:x val="0.42597693470134412"/>
              <c:y val="0.9127576057041453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1891691720353136"/>
          <c:y val="0.20626138331898797"/>
          <c:w val="0.17150770699117157"/>
          <c:h val="0.182187509962064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PQBST Compute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77009979110563009"/>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4B49-418C-ADDB-AED101526C5B}"/>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PQBST Compute 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E4B-42AD-B1E5-FD2B319767F6}"/>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PQBS Compute</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74526923416970015"/>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48735160693403029"/>
                  <c:y val="-1.3030817831885623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Data'!$D$2:$D$42</c:f>
              <c:numCache>
                <c:formatCode>General</c:formatCode>
                <c:ptCount val="41"/>
                <c:pt idx="0">
                  <c:v>8.0320000000000003E-6</c:v>
                </c:pt>
                <c:pt idx="1">
                  <c:v>1.1263999999999999E-5</c:v>
                </c:pt>
                <c:pt idx="2">
                  <c:v>5.6256000000000003E-4</c:v>
                </c:pt>
                <c:pt idx="3">
                  <c:v>1.52698E-3</c:v>
                </c:pt>
                <c:pt idx="4">
                  <c:v>2.3865599999999998E-3</c:v>
                </c:pt>
                <c:pt idx="5">
                  <c:v>3.3958700000000001E-3</c:v>
                </c:pt>
                <c:pt idx="6">
                  <c:v>4.4171200000000001E-3</c:v>
                </c:pt>
                <c:pt idx="7">
                  <c:v>5.3329600000000003E-3</c:v>
                </c:pt>
                <c:pt idx="8">
                  <c:v>6.8260200000000004E-3</c:v>
                </c:pt>
                <c:pt idx="9">
                  <c:v>7.8664300000000006E-3</c:v>
                </c:pt>
                <c:pt idx="10">
                  <c:v>8.8737299999999998E-3</c:v>
                </c:pt>
                <c:pt idx="11">
                  <c:v>9.8912300000000009E-3</c:v>
                </c:pt>
                <c:pt idx="12">
                  <c:v>1.09383E-2</c:v>
                </c:pt>
                <c:pt idx="13">
                  <c:v>1.19235E-2</c:v>
                </c:pt>
                <c:pt idx="14">
                  <c:v>1.2935500000000001E-2</c:v>
                </c:pt>
                <c:pt idx="15">
                  <c:v>1.3931799999999999E-2</c:v>
                </c:pt>
                <c:pt idx="16">
                  <c:v>1.49272E-2</c:v>
                </c:pt>
                <c:pt idx="17">
                  <c:v>1.59644E-2</c:v>
                </c:pt>
                <c:pt idx="18">
                  <c:v>1.6967699999999999E-2</c:v>
                </c:pt>
                <c:pt idx="19">
                  <c:v>1.7925E-2</c:v>
                </c:pt>
                <c:pt idx="20">
                  <c:v>1.93785E-2</c:v>
                </c:pt>
                <c:pt idx="21">
                  <c:v>2.0523E-2</c:v>
                </c:pt>
                <c:pt idx="22">
                  <c:v>2.0978E-2</c:v>
                </c:pt>
                <c:pt idx="23">
                  <c:v>2.2229200000000001E-2</c:v>
                </c:pt>
                <c:pt idx="24">
                  <c:v>2.3213500000000001E-2</c:v>
                </c:pt>
                <c:pt idx="25">
                  <c:v>2.3906299999999998E-2</c:v>
                </c:pt>
                <c:pt idx="26">
                  <c:v>2.49284E-2</c:v>
                </c:pt>
                <c:pt idx="27">
                  <c:v>2.6098799999999998E-2</c:v>
                </c:pt>
                <c:pt idx="28">
                  <c:v>2.7540100000000001E-2</c:v>
                </c:pt>
                <c:pt idx="29">
                  <c:v>2.8469999999999999E-2</c:v>
                </c:pt>
                <c:pt idx="30">
                  <c:v>2.9484E-2</c:v>
                </c:pt>
                <c:pt idx="31">
                  <c:v>3.0248899999999999E-2</c:v>
                </c:pt>
                <c:pt idx="32">
                  <c:v>3.13429E-2</c:v>
                </c:pt>
                <c:pt idx="33">
                  <c:v>3.2553199999999997E-2</c:v>
                </c:pt>
                <c:pt idx="34">
                  <c:v>3.3365199999999998E-2</c:v>
                </c:pt>
                <c:pt idx="35">
                  <c:v>3.4039300000000002E-2</c:v>
                </c:pt>
                <c:pt idx="36">
                  <c:v>3.5055299999999998E-2</c:v>
                </c:pt>
                <c:pt idx="37">
                  <c:v>3.6053399999999999E-2</c:v>
                </c:pt>
                <c:pt idx="38">
                  <c:v>3.7055299999999999E-2</c:v>
                </c:pt>
                <c:pt idx="39">
                  <c:v>3.8080999999999997E-2</c:v>
                </c:pt>
                <c:pt idx="40">
                  <c:v>6.5252299999999999E-2</c:v>
                </c:pt>
              </c:numCache>
            </c:numRef>
          </c:yVal>
          <c:smooth val="1"/>
          <c:extLst>
            <c:ext xmlns:c16="http://schemas.microsoft.com/office/drawing/2014/chart" uri="{C3380CC4-5D6E-409C-BE32-E72D297353CC}">
              <c16:uniqueId val="{00000001-A5DA-404C-AB77-47E7CA614AA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3551935144243268"/>
          <c:y val="0.60532064000294072"/>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FIG1 - PQBRT Graphics SPF - Linear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49181585933903"/>
          <c:y val="0.13471827860056787"/>
          <c:w val="0.75428756298236566"/>
          <c:h val="0.69363302993836951"/>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44450" cap="rnd">
                <a:solidFill>
                  <a:schemeClr val="accent2"/>
                </a:solidFill>
                <a:prstDash val="sysDot"/>
              </a:ln>
              <a:effectLst/>
            </c:spPr>
            <c:trendlineType val="linear"/>
            <c:intercept val="0"/>
            <c:dispRSqr val="1"/>
            <c:dispEq val="1"/>
            <c:trendlineLbl>
              <c:layout>
                <c:manualLayout>
                  <c:x val="-0.31544887236877189"/>
                  <c:y val="0.1119607590034852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1CBA-40C5-8640-06B261273255}"/>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56385504328522895"/>
          <c:y val="0.54783549511168872"/>
          <c:w val="0.24654826495310916"/>
          <c:h val="0.1225875903473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FIG2 - PQBRT </a:t>
            </a:r>
            <a:r>
              <a:rPr lang="en-US" sz="1400" b="0" i="0" u="none" strike="noStrike" kern="1200" spc="0" baseline="0">
                <a:solidFill>
                  <a:sysClr val="windowText" lastClr="000000">
                    <a:lumMod val="65000"/>
                    <a:lumOff val="35000"/>
                  </a:sysClr>
                </a:solidFill>
              </a:rPr>
              <a:t>Graphics</a:t>
            </a:r>
            <a:r>
              <a:rPr lang="en-US" sz="1400"/>
              <a:t> </a:t>
            </a:r>
            <a:r>
              <a:rPr lang="en-US"/>
              <a:t>SPF Polynomial</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53442398525028"/>
          <c:y val="0.1484891738892227"/>
          <c:w val="0.77086101428141374"/>
          <c:h val="0.67406323232998278"/>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ly"/>
            <c:order val="2"/>
            <c:intercept val="0"/>
            <c:dispRSqr val="1"/>
            <c:dispEq val="1"/>
            <c:trendlineLbl>
              <c:layout>
                <c:manualLayout>
                  <c:x val="-0.19363753834772507"/>
                  <c:y val="1.4684202726025367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665B-49D3-98E4-6815A004FE8A}"/>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45476181833168844"/>
          <c:y val="0.5727426504568699"/>
          <c:w val="0.24977863598048267"/>
          <c:h val="0.135118487326612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FIG3 - PQBRT </a:t>
            </a:r>
            <a:r>
              <a:rPr lang="en-US" sz="1400" b="0" i="0" u="none" strike="noStrike" kern="1200" spc="0" baseline="0">
                <a:solidFill>
                  <a:sysClr val="windowText" lastClr="000000">
                    <a:lumMod val="65000"/>
                    <a:lumOff val="35000"/>
                  </a:sysClr>
                </a:solidFill>
              </a:rPr>
              <a:t>Graphics</a:t>
            </a:r>
            <a:r>
              <a:rPr lang="en-US" baseline="0"/>
              <a:t> </a:t>
            </a:r>
            <a:r>
              <a:rPr lang="en-US"/>
              <a:t>SPF Power (Sublinear)</a:t>
            </a:r>
            <a:r>
              <a:rPr lang="en-US" baseline="0"/>
              <a:t> Trendline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605745169048633"/>
          <c:y val="0.14926863461454976"/>
          <c:w val="0.78312450916085297"/>
          <c:h val="0.68215377068608707"/>
        </c:manualLayout>
      </c:layout>
      <c:scatterChart>
        <c:scatterStyle val="smoothMarker"/>
        <c:varyColors val="0"/>
        <c:ser>
          <c:idx val="0"/>
          <c:order val="0"/>
          <c:tx>
            <c:v>PBQR SPF</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38100" cap="rnd">
                <a:solidFill>
                  <a:srgbClr val="C00000"/>
                </a:solidFill>
                <a:prstDash val="sysDash"/>
              </a:ln>
              <a:effectLst/>
            </c:spPr>
            <c:trendlineType val="power"/>
            <c:dispRSqr val="1"/>
            <c:dispEq val="1"/>
            <c:trendlineLbl>
              <c:layout>
                <c:manualLayout>
                  <c:x val="-0.50078034345676403"/>
                  <c:y val="-1.887141031405979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xVal>
            <c:numRef>
              <c:f>'PBQRT Data'!$G$2:$G$42</c:f>
              <c:numCache>
                <c:formatCode>General</c:formatCode>
                <c:ptCount val="41"/>
                <c:pt idx="0">
                  <c:v>32</c:v>
                </c:pt>
                <c:pt idx="1">
                  <c:v>1024</c:v>
                </c:pt>
                <c:pt idx="2">
                  <c:v>148480</c:v>
                </c:pt>
                <c:pt idx="3">
                  <c:v>312320</c:v>
                </c:pt>
                <c:pt idx="4">
                  <c:v>459776</c:v>
                </c:pt>
                <c:pt idx="5">
                  <c:v>623616</c:v>
                </c:pt>
                <c:pt idx="6">
                  <c:v>787456</c:v>
                </c:pt>
                <c:pt idx="7">
                  <c:v>934912</c:v>
                </c:pt>
                <c:pt idx="8">
                  <c:v>1098752</c:v>
                </c:pt>
                <c:pt idx="9">
                  <c:v>1262592</c:v>
                </c:pt>
                <c:pt idx="10">
                  <c:v>1426432</c:v>
                </c:pt>
                <c:pt idx="11">
                  <c:v>1590272</c:v>
                </c:pt>
                <c:pt idx="12">
                  <c:v>1754112</c:v>
                </c:pt>
                <c:pt idx="13">
                  <c:v>1917952</c:v>
                </c:pt>
                <c:pt idx="14">
                  <c:v>2081792</c:v>
                </c:pt>
                <c:pt idx="15">
                  <c:v>2245632</c:v>
                </c:pt>
                <c:pt idx="16">
                  <c:v>2409472</c:v>
                </c:pt>
                <c:pt idx="17">
                  <c:v>2573312</c:v>
                </c:pt>
                <c:pt idx="18">
                  <c:v>2737152</c:v>
                </c:pt>
                <c:pt idx="19">
                  <c:v>2900992</c:v>
                </c:pt>
                <c:pt idx="20">
                  <c:v>3064832</c:v>
                </c:pt>
                <c:pt idx="21">
                  <c:v>3228672</c:v>
                </c:pt>
                <c:pt idx="22">
                  <c:v>3392512</c:v>
                </c:pt>
                <c:pt idx="23">
                  <c:v>3539968</c:v>
                </c:pt>
                <c:pt idx="24">
                  <c:v>3703808</c:v>
                </c:pt>
                <c:pt idx="25">
                  <c:v>3867648</c:v>
                </c:pt>
                <c:pt idx="26">
                  <c:v>4031488</c:v>
                </c:pt>
                <c:pt idx="27">
                  <c:v>4195328</c:v>
                </c:pt>
                <c:pt idx="28">
                  <c:v>4359168</c:v>
                </c:pt>
                <c:pt idx="29">
                  <c:v>4523008</c:v>
                </c:pt>
                <c:pt idx="30">
                  <c:v>4686848</c:v>
                </c:pt>
                <c:pt idx="31">
                  <c:v>4850688</c:v>
                </c:pt>
                <c:pt idx="32">
                  <c:v>5014528</c:v>
                </c:pt>
                <c:pt idx="33">
                  <c:v>5178368</c:v>
                </c:pt>
                <c:pt idx="34">
                  <c:v>5342208</c:v>
                </c:pt>
                <c:pt idx="35">
                  <c:v>5506048</c:v>
                </c:pt>
                <c:pt idx="36">
                  <c:v>5669888</c:v>
                </c:pt>
                <c:pt idx="37">
                  <c:v>5833728</c:v>
                </c:pt>
                <c:pt idx="38">
                  <c:v>5997568</c:v>
                </c:pt>
                <c:pt idx="39">
                  <c:v>6161408</c:v>
                </c:pt>
                <c:pt idx="40">
                  <c:v>10470400</c:v>
                </c:pt>
              </c:numCache>
            </c:numRef>
          </c:xVal>
          <c:yVal>
            <c:numRef>
              <c:f>'PBQRT Data'!$E$2:$E$42</c:f>
              <c:numCache>
                <c:formatCode>General</c:formatCode>
                <c:ptCount val="41"/>
                <c:pt idx="0">
                  <c:v>9.0240000000000003E-6</c:v>
                </c:pt>
                <c:pt idx="1">
                  <c:v>9.2799999999999992E-6</c:v>
                </c:pt>
                <c:pt idx="2">
                  <c:v>1.21888E-4</c:v>
                </c:pt>
                <c:pt idx="3">
                  <c:v>2.8790400000000001E-4</c:v>
                </c:pt>
                <c:pt idx="4">
                  <c:v>4.2326400000000002E-4</c:v>
                </c:pt>
                <c:pt idx="5">
                  <c:v>5.7567999999999996E-4</c:v>
                </c:pt>
                <c:pt idx="6">
                  <c:v>8.6009599999999997E-4</c:v>
                </c:pt>
                <c:pt idx="7">
                  <c:v>1.0150999999999999E-3</c:v>
                </c:pt>
                <c:pt idx="8">
                  <c:v>1.4432E-3</c:v>
                </c:pt>
                <c:pt idx="9">
                  <c:v>1.6608599999999999E-3</c:v>
                </c:pt>
                <c:pt idx="10">
                  <c:v>1.9367E-3</c:v>
                </c:pt>
                <c:pt idx="11">
                  <c:v>2.2083799999999998E-3</c:v>
                </c:pt>
                <c:pt idx="12">
                  <c:v>2.14138E-3</c:v>
                </c:pt>
                <c:pt idx="13">
                  <c:v>2.6574699999999999E-3</c:v>
                </c:pt>
                <c:pt idx="14">
                  <c:v>2.72317E-3</c:v>
                </c:pt>
                <c:pt idx="15">
                  <c:v>2.4992999999999999E-3</c:v>
                </c:pt>
                <c:pt idx="16">
                  <c:v>3.3355199999999998E-3</c:v>
                </c:pt>
                <c:pt idx="17">
                  <c:v>3.3781100000000001E-3</c:v>
                </c:pt>
                <c:pt idx="18">
                  <c:v>3.1683800000000002E-3</c:v>
                </c:pt>
                <c:pt idx="19">
                  <c:v>3.5630700000000002E-3</c:v>
                </c:pt>
                <c:pt idx="20">
                  <c:v>3.5690600000000002E-3</c:v>
                </c:pt>
                <c:pt idx="21">
                  <c:v>3.99066E-3</c:v>
                </c:pt>
                <c:pt idx="22">
                  <c:v>4.5149099999999996E-3</c:v>
                </c:pt>
                <c:pt idx="23">
                  <c:v>4.3925800000000001E-3</c:v>
                </c:pt>
                <c:pt idx="24">
                  <c:v>4.9197399999999997E-3</c:v>
                </c:pt>
                <c:pt idx="25">
                  <c:v>5.0836800000000001E-3</c:v>
                </c:pt>
                <c:pt idx="26">
                  <c:v>5.4018900000000003E-3</c:v>
                </c:pt>
                <c:pt idx="27">
                  <c:v>5.2038400000000004E-3</c:v>
                </c:pt>
                <c:pt idx="28">
                  <c:v>5.9905000000000002E-3</c:v>
                </c:pt>
                <c:pt idx="29">
                  <c:v>5.71946E-3</c:v>
                </c:pt>
                <c:pt idx="30">
                  <c:v>8.9471399999999993E-3</c:v>
                </c:pt>
                <c:pt idx="31">
                  <c:v>6.3694099999999998E-3</c:v>
                </c:pt>
                <c:pt idx="32">
                  <c:v>6.67491E-3</c:v>
                </c:pt>
                <c:pt idx="33">
                  <c:v>6.9072300000000003E-3</c:v>
                </c:pt>
                <c:pt idx="34">
                  <c:v>6.8126100000000002E-3</c:v>
                </c:pt>
                <c:pt idx="35">
                  <c:v>7.2073299999999996E-3</c:v>
                </c:pt>
                <c:pt idx="36">
                  <c:v>7.7851200000000004E-3</c:v>
                </c:pt>
                <c:pt idx="37">
                  <c:v>7.9003200000000006E-3</c:v>
                </c:pt>
                <c:pt idx="38">
                  <c:v>7.76912E-3</c:v>
                </c:pt>
                <c:pt idx="39">
                  <c:v>8.2599400000000003E-3</c:v>
                </c:pt>
                <c:pt idx="40">
                  <c:v>1.39858E-2</c:v>
                </c:pt>
              </c:numCache>
            </c:numRef>
          </c:yVal>
          <c:smooth val="1"/>
          <c:extLst>
            <c:ext xmlns:c16="http://schemas.microsoft.com/office/drawing/2014/chart" uri="{C3380CC4-5D6E-409C-BE32-E72D297353CC}">
              <c16:uniqueId val="{00000001-E069-4087-9D1F-4CE197F4F607}"/>
            </c:ext>
          </c:extLst>
        </c:ser>
        <c:dLbls>
          <c:showLegendKey val="0"/>
          <c:showVal val="0"/>
          <c:showCatName val="0"/>
          <c:showSerName val="0"/>
          <c:showPercent val="0"/>
          <c:showBubbleSize val="0"/>
        </c:dLbls>
        <c:axId val="469162416"/>
        <c:axId val="1400030576"/>
      </c:scatterChart>
      <c:valAx>
        <c:axId val="469162416"/>
        <c:scaling>
          <c:orientation val="minMax"/>
          <c:max val="11000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particles,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030576"/>
        <c:crosses val="autoZero"/>
        <c:crossBetween val="midCat"/>
      </c:valAx>
      <c:valAx>
        <c:axId val="1400030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Seconds per frame, 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62416"/>
        <c:crosses val="autoZero"/>
        <c:crossBetween val="midCat"/>
      </c:valAx>
      <c:spPr>
        <a:noFill/>
        <a:ln>
          <a:noFill/>
        </a:ln>
        <a:effectLst/>
      </c:spPr>
    </c:plotArea>
    <c:legend>
      <c:legendPos val="r"/>
      <c:layout>
        <c:manualLayout>
          <c:xMode val="edge"/>
          <c:yMode val="edge"/>
          <c:x val="0.19291527750816795"/>
          <c:y val="0.20689532787459286"/>
          <c:w val="0.24645987423576238"/>
          <c:h val="0.135827761621688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114300</xdr:rowOff>
    </xdr:from>
    <xdr:to>
      <xdr:col>14</xdr:col>
      <xdr:colOff>419100</xdr:colOff>
      <xdr:row>29</xdr:row>
      <xdr:rowOff>66675</xdr:rowOff>
    </xdr:to>
    <xdr:sp macro="" textlink="">
      <xdr:nvSpPr>
        <xdr:cNvPr id="2" name="TextBox 1">
          <a:extLst>
            <a:ext uri="{FF2B5EF4-FFF2-40B4-BE49-F238E27FC236}">
              <a16:creationId xmlns:a16="http://schemas.microsoft.com/office/drawing/2014/main" id="{5021255B-C556-424A-8345-1AAEE8744B81}"/>
            </a:ext>
          </a:extLst>
        </xdr:cNvPr>
        <xdr:cNvSpPr txBox="1"/>
      </xdr:nvSpPr>
      <xdr:spPr>
        <a:xfrm>
          <a:off x="10287000" y="304800"/>
          <a:ext cx="4524375" cy="528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particle quantity benchmark verification (PQBSV).  This</a:t>
          </a:r>
          <a:r>
            <a:rPr lang="en-US" sz="1400" baseline="0"/>
            <a:t> test increses the number of particles, holding the percentage of collisons constant, and records the processing time.</a:t>
          </a:r>
          <a:endParaRPr lang="en-US" sz="1400"/>
        </a:p>
        <a:p>
          <a:endParaRPr lang="en-US" sz="1400"/>
        </a:p>
        <a:p>
          <a:endParaRPr lang="en-US" sz="1400"/>
        </a:p>
        <a:p>
          <a:r>
            <a:rPr lang="en-US" sz="1400"/>
            <a:t>The</a:t>
          </a:r>
          <a:r>
            <a:rPr lang="en-US" sz="1400" baseline="0"/>
            <a:t> reporting utility reads each of the perfromance output files : </a:t>
          </a:r>
        </a:p>
        <a:p>
          <a:r>
            <a:rPr lang="en-US" sz="1400" baseline="0"/>
            <a:t>C:\_DJ\gPCDData\perfDataPQBST</a:t>
          </a:r>
          <a:r>
            <a:rPr lang="en-US" sz="1400" baseline="0">
              <a:solidFill>
                <a:srgbClr val="FF0000"/>
              </a:solidFill>
            </a:rPr>
            <a:t>\*.D.csv </a:t>
          </a:r>
        </a:p>
        <a:p>
          <a:r>
            <a:rPr lang="en-US" sz="1400"/>
            <a:t>and detemines</a:t>
          </a:r>
          <a:r>
            <a:rPr lang="en-US" sz="1400" baseline="0"/>
            <a:t> if the expected number of </a:t>
          </a:r>
        </a:p>
        <a:p>
          <a:r>
            <a:rPr lang="en-US" sz="1400" baseline="0"/>
            <a:t>particles(expectedp) is equal to the numer of particles loaded (loaededp) by the CPU (Vulkan),the number of particles processed by the compute pipline (shaderp_comp), and the number of particles processed by the graphics pipline (shaderp_grph) .</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baseline="0">
              <a:solidFill>
                <a:schemeClr val="dk1"/>
              </a:solidFill>
              <a:effectLst/>
              <a:latin typeface="+mn-lt"/>
              <a:ea typeface="+mn-ea"/>
              <a:cs typeface="+mn-cs"/>
            </a:rPr>
            <a:t>This data shows that all comparisions match.</a:t>
          </a:r>
          <a:endParaRPr lang="en-US" sz="1400">
            <a:effectLst/>
          </a:endParaRPr>
        </a:p>
        <a:p>
          <a:endParaRPr lang="en-US" sz="1400" baseline="0"/>
        </a:p>
        <a:p>
          <a:r>
            <a:rPr lang="en-US" sz="1400" baseline="0"/>
            <a:t>A visual verification of 50% collsions can be had by just looking at the output (below) where colliding particles are red and non-colliding particles are green. This process is carried out in the GPU (glsl code).</a:t>
          </a:r>
        </a:p>
      </xdr:txBody>
    </xdr:sp>
    <xdr:clientData/>
  </xdr:twoCellAnchor>
  <xdr:twoCellAnchor editAs="oneCell">
    <xdr:from>
      <xdr:col>14</xdr:col>
      <xdr:colOff>361950</xdr:colOff>
      <xdr:row>1</xdr:row>
      <xdr:rowOff>66675</xdr:rowOff>
    </xdr:from>
    <xdr:to>
      <xdr:col>25</xdr:col>
      <xdr:colOff>581992</xdr:colOff>
      <xdr:row>40</xdr:row>
      <xdr:rowOff>105817</xdr:rowOff>
    </xdr:to>
    <xdr:pic>
      <xdr:nvPicPr>
        <xdr:cNvPr id="4" name="Picture 3">
          <a:extLst>
            <a:ext uri="{FF2B5EF4-FFF2-40B4-BE49-F238E27FC236}">
              <a16:creationId xmlns:a16="http://schemas.microsoft.com/office/drawing/2014/main" id="{06D10597-D339-3689-3C46-B87CA26ECB99}"/>
            </a:ext>
          </a:extLst>
        </xdr:cNvPr>
        <xdr:cNvPicPr>
          <a:picLocks noChangeAspect="1"/>
        </xdr:cNvPicPr>
      </xdr:nvPicPr>
      <xdr:blipFill>
        <a:blip xmlns:r="http://schemas.openxmlformats.org/officeDocument/2006/relationships" r:embed="rId1"/>
        <a:stretch>
          <a:fillRect/>
        </a:stretch>
      </xdr:blipFill>
      <xdr:spPr>
        <a:xfrm>
          <a:off x="14754225" y="257175"/>
          <a:ext cx="6925642" cy="74686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1</xdr:row>
      <xdr:rowOff>0</xdr:rowOff>
    </xdr:from>
    <xdr:to>
      <xdr:col>21</xdr:col>
      <xdr:colOff>257175</xdr:colOff>
      <xdr:row>30</xdr:row>
      <xdr:rowOff>57150</xdr:rowOff>
    </xdr:to>
    <xdr:sp macro="" textlink="">
      <xdr:nvSpPr>
        <xdr:cNvPr id="2" name="TextBox 1">
          <a:extLst>
            <a:ext uri="{FF2B5EF4-FFF2-40B4-BE49-F238E27FC236}">
              <a16:creationId xmlns:a16="http://schemas.microsoft.com/office/drawing/2014/main" id="{7AEAFDDD-1010-4CB4-A507-2F9DF89578DE}"/>
            </a:ext>
          </a:extLst>
        </xdr:cNvPr>
        <xdr:cNvSpPr txBox="1"/>
      </xdr:nvSpPr>
      <xdr:spPr>
        <a:xfrm>
          <a:off x="12306300" y="19050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a:t>
          </a:r>
          <a:r>
            <a:rPr lang="en-US" sz="1400"/>
            <a:t> (PQBS). No </a:t>
          </a:r>
          <a:r>
            <a:rPr lang="en-US" sz="1400" baseline="0"/>
            <a:t> device timers only the overall performance (CPU-GRAPHICS PIPLINE-COMPUTE PIPLINE ) in frames per second</a:t>
          </a:r>
          <a:endParaRPr lang="en-US" sz="1400"/>
        </a:p>
        <a:p>
          <a:endParaRPr lang="en-US" sz="1400"/>
        </a:p>
        <a:p>
          <a:r>
            <a:rPr lang="en-US" sz="1400"/>
            <a:t>The</a:t>
          </a:r>
          <a:r>
            <a:rPr lang="en-US" sz="1400" baseline="0"/>
            <a:t> utility reads each of the perfromance output files : </a:t>
          </a:r>
        </a:p>
        <a:p>
          <a:r>
            <a:rPr lang="en-US" sz="1400" baseline="0"/>
            <a:t>C:\_DJ\gPCDData\perfDataPQBS</a:t>
          </a:r>
          <a:r>
            <a:rPr lang="en-US" sz="1400" baseline="0">
              <a:solidFill>
                <a:srgbClr val="FF0000"/>
              </a:solidFill>
            </a:rPr>
            <a:t>\*.R.csv </a:t>
          </a:r>
        </a:p>
        <a:p>
          <a:r>
            <a:rPr lang="en-US" sz="1400"/>
            <a:t>and detemines</a:t>
          </a:r>
          <a:r>
            <a:rPr lang="en-US" sz="1400" baseline="0"/>
            <a:t> the max value and records it in a line.</a:t>
          </a:r>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542925</xdr:colOff>
      <xdr:row>5</xdr:row>
      <xdr:rowOff>47625</xdr:rowOff>
    </xdr:from>
    <xdr:to>
      <xdr:col>13</xdr:col>
      <xdr:colOff>47625</xdr:colOff>
      <xdr:row>21</xdr:row>
      <xdr:rowOff>180975</xdr:rowOff>
    </xdr:to>
    <xdr:sp macro="" textlink="">
      <xdr:nvSpPr>
        <xdr:cNvPr id="2" name="TextBox 1">
          <a:extLst>
            <a:ext uri="{FF2B5EF4-FFF2-40B4-BE49-F238E27FC236}">
              <a16:creationId xmlns:a16="http://schemas.microsoft.com/office/drawing/2014/main" id="{7EEC53AC-38AB-4DED-8C9A-E6DA79E7832A}"/>
            </a:ext>
          </a:extLst>
        </xdr:cNvPr>
        <xdr:cNvSpPr txBox="1"/>
      </xdr:nvSpPr>
      <xdr:spPr>
        <a:xfrm>
          <a:off x="7696200" y="1000125"/>
          <a:ext cx="4524375" cy="3181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the summary of the </a:t>
          </a:r>
          <a:r>
            <a:rPr lang="en-US" sz="1400" b="1" i="1"/>
            <a:t>particle quantity benchmark performance with device timers</a:t>
          </a:r>
          <a:r>
            <a:rPr lang="en-US" sz="1400"/>
            <a:t> (PQBST). </a:t>
          </a:r>
        </a:p>
        <a:p>
          <a:endParaRPr lang="en-US" sz="1400"/>
        </a:p>
        <a:p>
          <a:r>
            <a:rPr lang="en-US" sz="1400"/>
            <a:t>The</a:t>
          </a:r>
          <a:r>
            <a:rPr lang="en-US" sz="1400" baseline="0"/>
            <a:t> utility reads each of the perfromance output files : </a:t>
          </a:r>
        </a:p>
        <a:p>
          <a:r>
            <a:rPr lang="en-US" sz="1400" baseline="0"/>
            <a:t>C:\_DJ\gPCDData\perfDataPQBT</a:t>
          </a:r>
          <a:r>
            <a:rPr lang="en-US" sz="1400" baseline="0">
              <a:solidFill>
                <a:srgbClr val="FF0000"/>
              </a:solidFill>
            </a:rPr>
            <a:t>\*.R.csv </a:t>
          </a:r>
        </a:p>
        <a:p>
          <a:r>
            <a:rPr lang="en-US" sz="1400" baseline="0"/>
            <a:t>Each line of the summary file records the max values of the grapihcs (gms) and compute (cms) timers. The 'T' in the directory above means timers on.</a:t>
          </a:r>
        </a:p>
        <a:p>
          <a:endParaRPr lang="en-US" sz="1400" baseline="0"/>
        </a:p>
        <a:p>
          <a:endParaRPr lang="en-US" sz="1400" baseline="0"/>
        </a:p>
        <a:p>
          <a:endParaRPr lang="en-US" sz="1400"/>
        </a:p>
        <a:p>
          <a:endParaRPr lang="en-US" sz="1400" baseline="0"/>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3" name="Chart 2">
          <a:extLst>
            <a:ext uri="{FF2B5EF4-FFF2-40B4-BE49-F238E27FC236}">
              <a16:creationId xmlns:a16="http://schemas.microsoft.com/office/drawing/2014/main" id="{8EE9C8D0-2735-45E2-A585-5B3FED255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4" name="Chart 3">
          <a:extLst>
            <a:ext uri="{FF2B5EF4-FFF2-40B4-BE49-F238E27FC236}">
              <a16:creationId xmlns:a16="http://schemas.microsoft.com/office/drawing/2014/main" id="{37103510-4B16-4AFC-8872-25F0554BF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571499</xdr:colOff>
      <xdr:row>19</xdr:row>
      <xdr:rowOff>41414</xdr:rowOff>
    </xdr:from>
    <xdr:to>
      <xdr:col>9</xdr:col>
      <xdr:colOff>41413</xdr:colOff>
      <xdr:row>35</xdr:row>
      <xdr:rowOff>165652</xdr:rowOff>
    </xdr:to>
    <xdr:graphicFrame macro="">
      <xdr:nvGraphicFramePr>
        <xdr:cNvPr id="5" name="Chart 4">
          <a:extLst>
            <a:ext uri="{FF2B5EF4-FFF2-40B4-BE49-F238E27FC236}">
              <a16:creationId xmlns:a16="http://schemas.microsoft.com/office/drawing/2014/main" id="{194BC90D-E3D0-44CE-A8D1-60BE150F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6" name="Chart 5">
          <a:extLst>
            <a:ext uri="{FF2B5EF4-FFF2-40B4-BE49-F238E27FC236}">
              <a16:creationId xmlns:a16="http://schemas.microsoft.com/office/drawing/2014/main" id="{310C6A09-BDA7-46F5-8B9D-144B11C82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0</xdr:row>
      <xdr:rowOff>182217</xdr:rowOff>
    </xdr:from>
    <xdr:to>
      <xdr:col>25</xdr:col>
      <xdr:colOff>233984</xdr:colOff>
      <xdr:row>30</xdr:row>
      <xdr:rowOff>48867</xdr:rowOff>
    </xdr:to>
    <xdr:sp macro="" textlink="">
      <xdr:nvSpPr>
        <xdr:cNvPr id="7" name="TextBox 6">
          <a:extLst>
            <a:ext uri="{FF2B5EF4-FFF2-40B4-BE49-F238E27FC236}">
              <a16:creationId xmlns:a16="http://schemas.microsoft.com/office/drawing/2014/main" id="{0BEDA63E-414F-4AE9-9F45-7DDE58FB4EA5}"/>
            </a:ext>
          </a:extLst>
        </xdr:cNvPr>
        <xdr:cNvSpPr txBox="1"/>
      </xdr:nvSpPr>
      <xdr:spPr>
        <a:xfrm>
          <a:off x="11032435" y="182217"/>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total</a:t>
          </a:r>
          <a:r>
            <a:rPr lang="en-US" sz="1400"/>
            <a:t> (PQBS)  results. </a:t>
          </a:r>
        </a:p>
        <a:p>
          <a:endParaRPr lang="en-US" sz="1400"/>
        </a:p>
        <a:p>
          <a:r>
            <a:rPr lang="en-US" sz="1400"/>
            <a:t>This is</a:t>
          </a:r>
          <a:r>
            <a:rPr lang="en-US" sz="1400" baseline="0"/>
            <a:t> the total performance from PQBS Data. This data is not used for the paper since a more realistic measure of performance is when the particles are randomly positoned. </a:t>
          </a:r>
        </a:p>
        <a:p>
          <a:r>
            <a:rPr lang="en-US" sz="1400" baseline="0"/>
            <a:t>We will compare sequntial versus random to see the effect on caching from randomnly placed particles in a later sheet.</a:t>
          </a:r>
        </a:p>
        <a:p>
          <a:endParaRPr lang="en-US" sz="1400" baseline="0"/>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'PQBS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different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3" name="Chart 2">
          <a:extLst>
            <a:ext uri="{FF2B5EF4-FFF2-40B4-BE49-F238E27FC236}">
              <a16:creationId xmlns:a16="http://schemas.microsoft.com/office/drawing/2014/main" id="{78F85DD9-EA4F-4308-8312-2CC5B04B6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4" name="Chart 3">
          <a:extLst>
            <a:ext uri="{FF2B5EF4-FFF2-40B4-BE49-F238E27FC236}">
              <a16:creationId xmlns:a16="http://schemas.microsoft.com/office/drawing/2014/main" id="{2DD5B459-1F6D-4A74-B3B2-2615081B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37</xdr:row>
      <xdr:rowOff>132522</xdr:rowOff>
    </xdr:to>
    <xdr:graphicFrame macro="">
      <xdr:nvGraphicFramePr>
        <xdr:cNvPr id="5" name="Chart 4">
          <a:extLst>
            <a:ext uri="{FF2B5EF4-FFF2-40B4-BE49-F238E27FC236}">
              <a16:creationId xmlns:a16="http://schemas.microsoft.com/office/drawing/2014/main" id="{92B63EB9-6325-4DBE-9368-10956031D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91108</xdr:colOff>
      <xdr:row>20</xdr:row>
      <xdr:rowOff>41413</xdr:rowOff>
    </xdr:from>
    <xdr:to>
      <xdr:col>17</xdr:col>
      <xdr:colOff>325091</xdr:colOff>
      <xdr:row>33</xdr:row>
      <xdr:rowOff>149087</xdr:rowOff>
    </xdr:to>
    <xdr:sp macro="" textlink="">
      <xdr:nvSpPr>
        <xdr:cNvPr id="2" name="TextBox 1">
          <a:extLst>
            <a:ext uri="{FF2B5EF4-FFF2-40B4-BE49-F238E27FC236}">
              <a16:creationId xmlns:a16="http://schemas.microsoft.com/office/drawing/2014/main" id="{B48DA6CA-ED1E-478B-BE72-9832C787B0E1}"/>
            </a:ext>
          </a:extLst>
        </xdr:cNvPr>
        <xdr:cNvSpPr txBox="1"/>
      </xdr:nvSpPr>
      <xdr:spPr>
        <a:xfrm>
          <a:off x="6220238" y="3851413"/>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compute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1C16A127-9CE6-4985-B0DB-5B5FC4960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75EF4A0D-5DBD-4389-B3E3-04F9FAAF9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78E8A278-349B-4857-AE21-731F4A6EA3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91110</xdr:colOff>
      <xdr:row>20</xdr:row>
      <xdr:rowOff>91109</xdr:rowOff>
    </xdr:from>
    <xdr:to>
      <xdr:col>17</xdr:col>
      <xdr:colOff>325093</xdr:colOff>
      <xdr:row>34</xdr:row>
      <xdr:rowOff>8283</xdr:rowOff>
    </xdr:to>
    <xdr:sp macro="" textlink="">
      <xdr:nvSpPr>
        <xdr:cNvPr id="6" name="TextBox 5">
          <a:extLst>
            <a:ext uri="{FF2B5EF4-FFF2-40B4-BE49-F238E27FC236}">
              <a16:creationId xmlns:a16="http://schemas.microsoft.com/office/drawing/2014/main" id="{334E28EF-932B-44ED-BD26-D4639F0F356A}"/>
            </a:ext>
          </a:extLst>
        </xdr:cNvPr>
        <xdr:cNvSpPr txBox="1"/>
      </xdr:nvSpPr>
      <xdr:spPr>
        <a:xfrm>
          <a:off x="6220240" y="39011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sequential with device timers </a:t>
          </a:r>
          <a:r>
            <a:rPr lang="en-US" sz="1400"/>
            <a:t>(PQBST) for the graphics pipline results. </a:t>
          </a:r>
        </a:p>
        <a:p>
          <a:endParaRPr lang="en-US" sz="1400"/>
        </a:p>
        <a:p>
          <a:r>
            <a:rPr lang="en-US" sz="1400"/>
            <a:t>This is</a:t>
          </a:r>
          <a:r>
            <a:rPr lang="en-US" sz="1400" baseline="0"/>
            <a:t> the device performance from 'PQBST Data' sheet. </a:t>
          </a:r>
        </a:p>
        <a:p>
          <a:endParaRPr lang="en-US" sz="1400" baseline="0"/>
        </a:p>
        <a:p>
          <a:r>
            <a:rPr lang="en-US" sz="1400" baseline="0"/>
            <a:t>Fig 1 is the frame time vs number of particles (spf v n). It is a linear fit with K = 6E-10.</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314325</xdr:colOff>
      <xdr:row>32</xdr:row>
      <xdr:rowOff>57150</xdr:rowOff>
    </xdr:to>
    <xdr:graphicFrame macro="">
      <xdr:nvGraphicFramePr>
        <xdr:cNvPr id="2" name="Chart 1">
          <a:extLst>
            <a:ext uri="{FF2B5EF4-FFF2-40B4-BE49-F238E27FC236}">
              <a16:creationId xmlns:a16="http://schemas.microsoft.com/office/drawing/2014/main" id="{C1B6A9FF-B77D-4C13-BAF8-7BDD2CE04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190500</xdr:colOff>
      <xdr:row>8</xdr:row>
      <xdr:rowOff>66675</xdr:rowOff>
    </xdr:from>
    <xdr:to>
      <xdr:col>23</xdr:col>
      <xdr:colOff>447675</xdr:colOff>
      <xdr:row>23</xdr:row>
      <xdr:rowOff>85725</xdr:rowOff>
    </xdr:to>
    <xdr:sp macro="" textlink="">
      <xdr:nvSpPr>
        <xdr:cNvPr id="3" name="TextBox 2">
          <a:extLst>
            <a:ext uri="{FF2B5EF4-FFF2-40B4-BE49-F238E27FC236}">
              <a16:creationId xmlns:a16="http://schemas.microsoft.com/office/drawing/2014/main" id="{D3DEC30B-B671-47D9-B0C0-A72B0D57C99B}"/>
            </a:ext>
          </a:extLst>
        </xdr:cNvPr>
        <xdr:cNvSpPr txBox="1"/>
      </xdr:nvSpPr>
      <xdr:spPr>
        <a:xfrm>
          <a:off x="9944100" y="1590675"/>
          <a:ext cx="4524375" cy="287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a:t>
          </a:r>
          <a:r>
            <a:rPr lang="en-US" sz="1400" baseline="0"/>
            <a:t> are plots of the frame time performance. The total is (GPU-CPU) is in green. This includes both pipeline and the CPU. The compute is in ornage and graphics pipeline in blue.</a:t>
          </a:r>
          <a:endParaRPr lang="en-US" sz="1400"/>
        </a:p>
        <a:p>
          <a:endParaRPr lang="en-US" sz="1400"/>
        </a:p>
        <a:p>
          <a:r>
            <a:rPr lang="en-US" sz="1400"/>
            <a:t>Total</a:t>
          </a:r>
          <a:r>
            <a:rPr lang="en-US" sz="1400" baseline="0"/>
            <a:t> performance is from 'PQBS Data' sheet, and device performance is form  'PQBS Data' sheet.</a:t>
          </a:r>
        </a:p>
        <a:p>
          <a:endParaRPr lang="en-US" sz="1400" baseline="0"/>
        </a:p>
        <a:p>
          <a:r>
            <a:rPr lang="en-US" sz="1400" baseline="0"/>
            <a:t>What is most noteable is that graphics is a order of magnitude faster than compute. Overall results listed in summary indicate that the compute pipline would benefit from corner threads.</a:t>
          </a:r>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219075</xdr:colOff>
      <xdr:row>0</xdr:row>
      <xdr:rowOff>180974</xdr:rowOff>
    </xdr:from>
    <xdr:to>
      <xdr:col>9</xdr:col>
      <xdr:colOff>99392</xdr:colOff>
      <xdr:row>19</xdr:row>
      <xdr:rowOff>57977</xdr:rowOff>
    </xdr:to>
    <xdr:graphicFrame macro="">
      <xdr:nvGraphicFramePr>
        <xdr:cNvPr id="2" name="Chart 1">
          <a:extLst>
            <a:ext uri="{FF2B5EF4-FFF2-40B4-BE49-F238E27FC236}">
              <a16:creationId xmlns:a16="http://schemas.microsoft.com/office/drawing/2014/main" id="{6FF9FCD5-A5D8-4BE9-916E-4BA15F291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108502</xdr:colOff>
      <xdr:row>0</xdr:row>
      <xdr:rowOff>189257</xdr:rowOff>
    </xdr:from>
    <xdr:to>
      <xdr:col>17</xdr:col>
      <xdr:colOff>496956</xdr:colOff>
      <xdr:row>19</xdr:row>
      <xdr:rowOff>66261</xdr:rowOff>
    </xdr:to>
    <xdr:graphicFrame macro="">
      <xdr:nvGraphicFramePr>
        <xdr:cNvPr id="3" name="Chart 2">
          <a:extLst>
            <a:ext uri="{FF2B5EF4-FFF2-40B4-BE49-F238E27FC236}">
              <a16:creationId xmlns:a16="http://schemas.microsoft.com/office/drawing/2014/main" id="{1F77F72E-A426-4E23-B4B9-1413C024E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24847</xdr:colOff>
      <xdr:row>19</xdr:row>
      <xdr:rowOff>66262</xdr:rowOff>
    </xdr:from>
    <xdr:to>
      <xdr:col>9</xdr:col>
      <xdr:colOff>107674</xdr:colOff>
      <xdr:row>36</xdr:row>
      <xdr:rowOff>0</xdr:rowOff>
    </xdr:to>
    <xdr:graphicFrame macro="">
      <xdr:nvGraphicFramePr>
        <xdr:cNvPr id="4" name="Chart 3">
          <a:extLst>
            <a:ext uri="{FF2B5EF4-FFF2-40B4-BE49-F238E27FC236}">
              <a16:creationId xmlns:a16="http://schemas.microsoft.com/office/drawing/2014/main" id="{2F21A650-B6CD-4C6A-A49F-50009B1AE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91108</xdr:colOff>
      <xdr:row>19</xdr:row>
      <xdr:rowOff>66261</xdr:rowOff>
    </xdr:from>
    <xdr:to>
      <xdr:col>17</xdr:col>
      <xdr:colOff>488674</xdr:colOff>
      <xdr:row>35</xdr:row>
      <xdr:rowOff>173934</xdr:rowOff>
    </xdr:to>
    <xdr:graphicFrame macro="">
      <xdr:nvGraphicFramePr>
        <xdr:cNvPr id="5" name="Chart 4">
          <a:extLst>
            <a:ext uri="{FF2B5EF4-FFF2-40B4-BE49-F238E27FC236}">
              <a16:creationId xmlns:a16="http://schemas.microsoft.com/office/drawing/2014/main" id="{FABC1D8E-B7B9-44E7-AABB-376193989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381000</xdr:colOff>
      <xdr:row>1</xdr:row>
      <xdr:rowOff>33130</xdr:rowOff>
    </xdr:from>
    <xdr:to>
      <xdr:col>25</xdr:col>
      <xdr:colOff>2071</xdr:colOff>
      <xdr:row>30</xdr:row>
      <xdr:rowOff>90280</xdr:rowOff>
    </xdr:to>
    <xdr:sp macro="" textlink="">
      <xdr:nvSpPr>
        <xdr:cNvPr id="8" name="TextBox 7">
          <a:extLst>
            <a:ext uri="{FF2B5EF4-FFF2-40B4-BE49-F238E27FC236}">
              <a16:creationId xmlns:a16="http://schemas.microsoft.com/office/drawing/2014/main" id="{A6D2A746-3340-48B7-942E-F150B81D7006}"/>
            </a:ext>
          </a:extLst>
        </xdr:cNvPr>
        <xdr:cNvSpPr txBox="1"/>
      </xdr:nvSpPr>
      <xdr:spPr>
        <a:xfrm>
          <a:off x="10800522" y="223630"/>
          <a:ext cx="4524375" cy="558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total</a:t>
          </a:r>
          <a:r>
            <a:rPr lang="en-US" sz="1400"/>
            <a:t> (PQBS)  results. </a:t>
          </a:r>
        </a:p>
        <a:p>
          <a:endParaRPr lang="en-US" sz="1400"/>
        </a:p>
        <a:p>
          <a:r>
            <a:rPr lang="en-US" sz="1400"/>
            <a:t>This is</a:t>
          </a:r>
          <a:r>
            <a:rPr lang="en-US" sz="1400" baseline="0"/>
            <a:t> the total performance from PQBR Data. This data is  used for the paper since it is a more realistic measure of performance when the particles are randomly positoned. </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This is</a:t>
          </a:r>
          <a:r>
            <a:rPr lang="en-US" sz="1400" baseline="0">
              <a:solidFill>
                <a:schemeClr val="dk1"/>
              </a:solidFill>
              <a:effectLst/>
              <a:latin typeface="+mn-lt"/>
              <a:ea typeface="+mn-ea"/>
              <a:cs typeface="+mn-cs"/>
            </a:rPr>
            <a:t> the device performance from 'PQBR Data' sheet. </a:t>
          </a:r>
          <a:endParaRPr lang="en-US" sz="1800">
            <a:effectLst/>
          </a:endParaRPr>
        </a:p>
        <a:p>
          <a:endParaRPr lang="en-US" sz="1400" baseline="0"/>
        </a:p>
        <a:p>
          <a:endParaRPr lang="en-US" sz="1400" baseline="0"/>
        </a:p>
        <a:p>
          <a:r>
            <a:rPr lang="en-US" sz="1400" baseline="0"/>
            <a:t>Fig 1 is the frame rate vs number of particles (fps v n).</a:t>
          </a:r>
        </a:p>
        <a:p>
          <a:r>
            <a:rPr lang="en-US" sz="1400" baseline="0"/>
            <a:t>Fig 2 -3 - 4 are the time rate vs number of particles (spf v n) with differnet trendlines.</a:t>
          </a:r>
        </a:p>
        <a:p>
          <a:endParaRPr lang="en-US" sz="1400" baseline="0"/>
        </a:p>
        <a:p>
          <a:r>
            <a:rPr lang="en-US" sz="1400" baseline="0"/>
            <a:t>Fig 2 is a linear fit with base cost (K) on the order of 1E-9.</a:t>
          </a:r>
        </a:p>
        <a:p>
          <a:r>
            <a:rPr lang="en-US" sz="1400" baseline="0"/>
            <a:t>Fig 3 is a quadratic polynomial fit on the order of  K=1E-18.</a:t>
          </a:r>
        </a:p>
        <a:p>
          <a:r>
            <a:rPr lang="en-US" sz="1400" b="1" baseline="0">
              <a:solidFill>
                <a:srgbClr val="FF0000"/>
              </a:solidFill>
            </a:rPr>
            <a:t>Fig 4 is a sublinear fit with K = 5E-6 and exponent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twoCellAnchor>
    <xdr:from>
      <xdr:col>1</xdr:col>
      <xdr:colOff>182218</xdr:colOff>
      <xdr:row>36</xdr:row>
      <xdr:rowOff>182218</xdr:rowOff>
    </xdr:from>
    <xdr:to>
      <xdr:col>11</xdr:col>
      <xdr:colOff>66262</xdr:colOff>
      <xdr:row>55</xdr:row>
      <xdr:rowOff>41414</xdr:rowOff>
    </xdr:to>
    <xdr:graphicFrame macro="">
      <xdr:nvGraphicFramePr>
        <xdr:cNvPr id="6" name="Chart 5">
          <a:extLst>
            <a:ext uri="{FF2B5EF4-FFF2-40B4-BE49-F238E27FC236}">
              <a16:creationId xmlns:a16="http://schemas.microsoft.com/office/drawing/2014/main" id="{D13DFDB1-D657-4842-B92C-E3700201C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157371</xdr:colOff>
      <xdr:row>65</xdr:row>
      <xdr:rowOff>66262</xdr:rowOff>
    </xdr:from>
    <xdr:to>
      <xdr:col>12</xdr:col>
      <xdr:colOff>604631</xdr:colOff>
      <xdr:row>89</xdr:row>
      <xdr:rowOff>41414</xdr:rowOff>
    </xdr:to>
    <xdr:graphicFrame macro="">
      <xdr:nvGraphicFramePr>
        <xdr:cNvPr id="7" name="Chart 6">
          <a:extLst>
            <a:ext uri="{FF2B5EF4-FFF2-40B4-BE49-F238E27FC236}">
              <a16:creationId xmlns:a16="http://schemas.microsoft.com/office/drawing/2014/main" id="{7B466373-DC53-477E-A422-31FCB4C978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247649</xdr:colOff>
      <xdr:row>0</xdr:row>
      <xdr:rowOff>152400</xdr:rowOff>
    </xdr:from>
    <xdr:to>
      <xdr:col>13</xdr:col>
      <xdr:colOff>180974</xdr:colOff>
      <xdr:row>25</xdr:row>
      <xdr:rowOff>95250</xdr:rowOff>
    </xdr:to>
    <xdr:graphicFrame macro="">
      <xdr:nvGraphicFramePr>
        <xdr:cNvPr id="2" name="Chart 1">
          <a:extLst>
            <a:ext uri="{FF2B5EF4-FFF2-40B4-BE49-F238E27FC236}">
              <a16:creationId xmlns:a16="http://schemas.microsoft.com/office/drawing/2014/main" id="{95906DAE-4CA3-4862-986E-0F41AC30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581025</xdr:colOff>
      <xdr:row>0</xdr:row>
      <xdr:rowOff>180975</xdr:rowOff>
    </xdr:from>
    <xdr:to>
      <xdr:col>21</xdr:col>
      <xdr:colOff>228600</xdr:colOff>
      <xdr:row>15</xdr:row>
      <xdr:rowOff>28575</xdr:rowOff>
    </xdr:to>
    <xdr:sp macro="" textlink="">
      <xdr:nvSpPr>
        <xdr:cNvPr id="3" name="TextBox 2">
          <a:extLst>
            <a:ext uri="{FF2B5EF4-FFF2-40B4-BE49-F238E27FC236}">
              <a16:creationId xmlns:a16="http://schemas.microsoft.com/office/drawing/2014/main" id="{5566D172-2E7F-4C20-987D-D7CDBD3E0948}"/>
            </a:ext>
          </a:extLst>
        </xdr:cNvPr>
        <xdr:cNvSpPr txBox="1"/>
      </xdr:nvSpPr>
      <xdr:spPr>
        <a:xfrm>
          <a:off x="8505825" y="180975"/>
          <a:ext cx="4524375" cy="270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is a comparision of total frame times for sequntially ordered</a:t>
          </a:r>
          <a:r>
            <a:rPr lang="en-US" sz="1400" baseline="0"/>
            <a:t> particles (PQBS) and randomly placed particles (PQBR). </a:t>
          </a:r>
          <a:endParaRPr lang="en-US" sz="1400"/>
        </a:p>
        <a:p>
          <a:endParaRPr lang="en-US" sz="1400"/>
        </a:p>
        <a:p>
          <a:r>
            <a:rPr lang="en-US" sz="1400" baseline="0"/>
            <a:t>There is a noticable difference resulting from random processing. </a:t>
          </a:r>
        </a:p>
        <a:p>
          <a:r>
            <a:rPr lang="en-US" sz="1400" baseline="0">
              <a:solidFill>
                <a:srgbClr val="FF0000"/>
              </a:solidFill>
            </a:rPr>
            <a:t>The green line is the growth on the difference between randome and sequential. The red dotted line show how much random grows with respect to sequential. The difference grows at leaset linearly and at most quadratically alghotu with a very small K (6E-17)</a:t>
          </a:r>
        </a:p>
        <a:p>
          <a:pPr marL="0" marR="0" lvl="0" indent="0" defTabSz="914400" eaLnBrk="1" fontAlgn="auto" latinLnBrk="0" hangingPunct="1">
            <a:lnSpc>
              <a:spcPct val="100000"/>
            </a:lnSpc>
            <a:spcBef>
              <a:spcPts val="0"/>
            </a:spcBef>
            <a:spcAft>
              <a:spcPts val="0"/>
            </a:spcAft>
            <a:buClrTx/>
            <a:buSzTx/>
            <a:buFontTx/>
            <a:buNone/>
            <a:tabLst/>
            <a:defRPr/>
          </a:pPr>
          <a:endParaRPr lang="en-US" sz="1400">
            <a:solidFill>
              <a:schemeClr val="dk1"/>
            </a:solidFill>
            <a:effectLst/>
            <a:latin typeface="+mn-lt"/>
            <a:ea typeface="+mn-ea"/>
            <a:cs typeface="+mn-cs"/>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605458</xdr:colOff>
      <xdr:row>1</xdr:row>
      <xdr:rowOff>172692</xdr:rowOff>
    </xdr:from>
    <xdr:to>
      <xdr:col>9</xdr:col>
      <xdr:colOff>381000</xdr:colOff>
      <xdr:row>20</xdr:row>
      <xdr:rowOff>49696</xdr:rowOff>
    </xdr:to>
    <xdr:graphicFrame macro="">
      <xdr:nvGraphicFramePr>
        <xdr:cNvPr id="2" name="Chart 1">
          <a:extLst>
            <a:ext uri="{FF2B5EF4-FFF2-40B4-BE49-F238E27FC236}">
              <a16:creationId xmlns:a16="http://schemas.microsoft.com/office/drawing/2014/main" id="{F6E34DD1-340F-4FC6-9957-904944F79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45E00460-C7BD-4E76-BCD7-390CAEDCC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20</xdr:row>
      <xdr:rowOff>74543</xdr:rowOff>
    </xdr:from>
    <xdr:to>
      <xdr:col>9</xdr:col>
      <xdr:colOff>347870</xdr:colOff>
      <xdr:row>36</xdr:row>
      <xdr:rowOff>182216</xdr:rowOff>
    </xdr:to>
    <xdr:graphicFrame macro="">
      <xdr:nvGraphicFramePr>
        <xdr:cNvPr id="4" name="Chart 3">
          <a:extLst>
            <a:ext uri="{FF2B5EF4-FFF2-40B4-BE49-F238E27FC236}">
              <a16:creationId xmlns:a16="http://schemas.microsoft.com/office/drawing/2014/main" id="{97F14E35-CEEC-40D0-82AC-DABA5EB5D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480392</xdr:colOff>
      <xdr:row>21</xdr:row>
      <xdr:rowOff>91109</xdr:rowOff>
    </xdr:from>
    <xdr:to>
      <xdr:col>18</xdr:col>
      <xdr:colOff>101462</xdr:colOff>
      <xdr:row>35</xdr:row>
      <xdr:rowOff>8283</xdr:rowOff>
    </xdr:to>
    <xdr:sp macro="" textlink="">
      <xdr:nvSpPr>
        <xdr:cNvPr id="6" name="TextBox 5">
          <a:extLst>
            <a:ext uri="{FF2B5EF4-FFF2-40B4-BE49-F238E27FC236}">
              <a16:creationId xmlns:a16="http://schemas.microsoft.com/office/drawing/2014/main" id="{E12C6D5D-A8C4-4CB8-A1E5-C381C06720AE}"/>
            </a:ext>
          </a:extLst>
        </xdr:cNvPr>
        <xdr:cNvSpPr txBox="1"/>
      </xdr:nvSpPr>
      <xdr:spPr>
        <a:xfrm>
          <a:off x="6609522" y="4091609"/>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605458</xdr:colOff>
      <xdr:row>1</xdr:row>
      <xdr:rowOff>172691</xdr:rowOff>
    </xdr:from>
    <xdr:to>
      <xdr:col>9</xdr:col>
      <xdr:colOff>381000</xdr:colOff>
      <xdr:row>21</xdr:row>
      <xdr:rowOff>16564</xdr:rowOff>
    </xdr:to>
    <xdr:graphicFrame macro="">
      <xdr:nvGraphicFramePr>
        <xdr:cNvPr id="2" name="Chart 1">
          <a:extLst>
            <a:ext uri="{FF2B5EF4-FFF2-40B4-BE49-F238E27FC236}">
              <a16:creationId xmlns:a16="http://schemas.microsoft.com/office/drawing/2014/main" id="{9B504FE0-08D5-4E86-8650-2069B5DD5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496956</xdr:colOff>
      <xdr:row>1</xdr:row>
      <xdr:rowOff>165653</xdr:rowOff>
    </xdr:from>
    <xdr:to>
      <xdr:col>17</xdr:col>
      <xdr:colOff>579782</xdr:colOff>
      <xdr:row>18</xdr:row>
      <xdr:rowOff>99391</xdr:rowOff>
    </xdr:to>
    <xdr:graphicFrame macro="">
      <xdr:nvGraphicFramePr>
        <xdr:cNvPr id="3" name="Chart 2">
          <a:extLst>
            <a:ext uri="{FF2B5EF4-FFF2-40B4-BE49-F238E27FC236}">
              <a16:creationId xmlns:a16="http://schemas.microsoft.com/office/drawing/2014/main" id="{AC08FA8C-3ADB-4650-B727-663E21E61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563216</xdr:colOff>
      <xdr:row>21</xdr:row>
      <xdr:rowOff>49696</xdr:rowOff>
    </xdr:from>
    <xdr:to>
      <xdr:col>9</xdr:col>
      <xdr:colOff>347870</xdr:colOff>
      <xdr:row>39</xdr:row>
      <xdr:rowOff>41413</xdr:rowOff>
    </xdr:to>
    <xdr:graphicFrame macro="">
      <xdr:nvGraphicFramePr>
        <xdr:cNvPr id="4" name="Chart 3">
          <a:extLst>
            <a:ext uri="{FF2B5EF4-FFF2-40B4-BE49-F238E27FC236}">
              <a16:creationId xmlns:a16="http://schemas.microsoft.com/office/drawing/2014/main" id="{2F8119E0-A8CB-4958-9EB9-2DBB416DF8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381001</xdr:colOff>
      <xdr:row>20</xdr:row>
      <xdr:rowOff>0</xdr:rowOff>
    </xdr:from>
    <xdr:to>
      <xdr:col>18</xdr:col>
      <xdr:colOff>2071</xdr:colOff>
      <xdr:row>33</xdr:row>
      <xdr:rowOff>107674</xdr:rowOff>
    </xdr:to>
    <xdr:sp macro="" textlink="">
      <xdr:nvSpPr>
        <xdr:cNvPr id="6" name="TextBox 5">
          <a:extLst>
            <a:ext uri="{FF2B5EF4-FFF2-40B4-BE49-F238E27FC236}">
              <a16:creationId xmlns:a16="http://schemas.microsoft.com/office/drawing/2014/main" id="{D8B842FE-1D24-44DF-80CA-175781E625D2}"/>
            </a:ext>
          </a:extLst>
        </xdr:cNvPr>
        <xdr:cNvSpPr txBox="1"/>
      </xdr:nvSpPr>
      <xdr:spPr>
        <a:xfrm>
          <a:off x="6510131" y="3810000"/>
          <a:ext cx="4524375" cy="25841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These are plots</a:t>
          </a:r>
          <a:r>
            <a:rPr lang="en-US" sz="1400" baseline="0"/>
            <a:t> of </a:t>
          </a:r>
          <a:r>
            <a:rPr lang="en-US" sz="1400" b="1" baseline="0"/>
            <a:t>p</a:t>
          </a:r>
          <a:r>
            <a:rPr lang="en-US" sz="1400" b="1"/>
            <a:t>article quantity benchmark random with device timers </a:t>
          </a:r>
          <a:r>
            <a:rPr lang="en-US" sz="1400"/>
            <a:t>(PQBST) for the compute pipline results. </a:t>
          </a:r>
        </a:p>
        <a:p>
          <a:endParaRPr lang="en-US" sz="1400"/>
        </a:p>
        <a:p>
          <a:r>
            <a:rPr lang="en-US" sz="1400"/>
            <a:t>This is</a:t>
          </a:r>
          <a:r>
            <a:rPr lang="en-US" sz="1400" baseline="0"/>
            <a:t> the device performance from 'PQBRT Data' sheet. </a:t>
          </a:r>
        </a:p>
        <a:p>
          <a:endParaRPr lang="en-US" sz="1400" baseline="0"/>
        </a:p>
        <a:p>
          <a:r>
            <a:rPr lang="en-US" sz="1400" baseline="0"/>
            <a:t>Fig 1 is the frame time vs number of particles (spf v n). It is a linear fit with K = 6E-9.</a:t>
          </a:r>
        </a:p>
        <a:p>
          <a:r>
            <a:rPr lang="en-US" sz="1400" baseline="0"/>
            <a:t>Fig 2 is a quadratic fit with base cost (K) on the order of 4E-18.</a:t>
          </a:r>
        </a:p>
        <a:p>
          <a:r>
            <a:rPr lang="en-US" sz="1400" b="1" baseline="0">
              <a:solidFill>
                <a:srgbClr val="FF0000"/>
              </a:solidFill>
            </a:rPr>
            <a:t>Fig 3 is a sublinear fit with K =5E-6 and exponent of 0.69. Does this mean that the system outperfoms sublinear up to abour 2.5 million particles (where the lines intersect)</a:t>
          </a:r>
        </a:p>
        <a:p>
          <a:endParaRPr lang="en-US" sz="1400" baseline="0"/>
        </a:p>
        <a:p>
          <a:endParaRPr lang="en-US" sz="1400" baseline="0"/>
        </a:p>
        <a:p>
          <a:endParaRPr lang="en-US" sz="1400"/>
        </a:p>
        <a:p>
          <a:endParaRPr lang="en-US" sz="1100" baseline="0"/>
        </a:p>
        <a:p>
          <a:endParaRPr lang="en-US" sz="1100" baseline="0"/>
        </a:p>
        <a:p>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DDB8667-00B7-4AA7-988E-ABBFD27E4022}" autoFormatId="16" applyNumberFormats="0" applyBorderFormats="0" applyFontFormats="0" applyPatternFormats="0" applyAlignmentFormats="0" applyWidthHeightFormats="0">
  <queryTableRefresh nextId="8">
    <queryTableFields count="7">
      <queryTableField id="1" name="Name" tableColumnId="1"/>
      <queryTableField id="2" name="expectedp" tableColumnId="2"/>
      <queryTableField id="3" name="loadedp" tableColumnId="3"/>
      <queryTableField id="4" name="shaderp_comp" tableColumnId="4"/>
      <queryTableField id="5" name="shaderp_grph" tableColumnId="5"/>
      <queryTableField id="6" name="expectedc" tableColumnId="6"/>
      <queryTableField id="7" name="shaderc"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7103335A-6E6B-4C85-865F-BD610F9799F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B866B7C-B6C2-4990-95D0-7BF3E58E7E84}"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C46DC055-D1D3-444E-A0A8-E4C00944A462}"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347A202-5D43-4AEC-8539-AB2F032F4AD8}" autoFormatId="16" applyNumberFormats="0" applyBorderFormats="0" applyFontFormats="0" applyPatternFormats="0" applyAlignmentFormats="0" applyWidthHeightFormats="0">
  <queryTableRefresh nextId="15">
    <queryTableFields count="14">
      <queryTableField id="1" name="Name" tableColumnId="1"/>
      <queryTableField id="2" name="fps" tableColumnId="2"/>
      <queryTableField id="3" name="cpums" tableColumnId="3"/>
      <queryTableField id="4" name="cms" tableColumnId="4"/>
      <queryTableField id="5" name="gms" tableColumnId="5"/>
      <queryTableField id="6" name="expectedp" tableColumnId="6"/>
      <queryTableField id="7" name="loadedp" tableColumnId="7"/>
      <queryTableField id="8" name="shaderp_comp" tableColumnId="8"/>
      <queryTableField id="9" name="shaderp_grph" tableColumnId="9"/>
      <queryTableField id="10" name="expectedc" tableColumnId="10"/>
      <queryTableField id="11" name="shaderc" tableColumnId="11"/>
      <queryTableField id="12" name="sidelen" tableColumnId="12"/>
      <queryTableField id="13" name="mean" tableColumnId="13"/>
      <queryTableField id="14" name="stddev"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248303-3AB4-4BA6-90D9-16782E8CB017}" name="perfdataVerificationSummary" displayName="perfdataVerificationSummary" ref="A1:G42" tableType="queryTable" totalsRowShown="0" headerRowDxfId="79" headerRowBorderDxfId="78" tableBorderDxfId="77" totalsRowBorderDxfId="76">
  <autoFilter ref="A1:G42" xr:uid="{63248303-3AB4-4BA6-90D9-16782E8CB017}"/>
  <tableColumns count="7">
    <tableColumn id="1" xr3:uid="{893A0CDD-8587-41A1-A0B0-9C672C3596FB}" uniqueName="1" name="Name" queryTableFieldId="1" dataDxfId="75"/>
    <tableColumn id="2" xr3:uid="{159FB74B-3C71-44F8-A188-1F877044C0E3}" uniqueName="2" name="expectedp" queryTableFieldId="2" dataDxfId="74" dataCellStyle="20% - Accent2"/>
    <tableColumn id="3" xr3:uid="{1F26A107-8722-4B10-8573-4D5A7BB31BC9}" uniqueName="3" name="loadedp" queryTableFieldId="3" dataDxfId="73" dataCellStyle="20% - Accent2"/>
    <tableColumn id="4" xr3:uid="{4A379AEE-30A2-431B-A332-6F8F77FFFDA5}" uniqueName="4" name="shaderp_comp" queryTableFieldId="4" dataDxfId="72" dataCellStyle="20% - Accent2"/>
    <tableColumn id="5" xr3:uid="{56047702-BE59-4AC9-8448-922298DE2D5C}" uniqueName="5" name="shaderp_grph" queryTableFieldId="5" dataDxfId="71" dataCellStyle="20% - Accent2"/>
    <tableColumn id="6" xr3:uid="{8B0C8DE5-24D3-43D7-886D-7D5494899E19}" uniqueName="6" name="expectedc" queryTableFieldId="6" dataDxfId="70" dataCellStyle="20% - Accent4"/>
    <tableColumn id="7" xr3:uid="{43F6097D-D753-4CF2-AC2E-69C76F2D6134}" uniqueName="7" name="shaderc" queryTableFieldId="7" dataDxfId="69" dataCellStyle="20% - Accent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D8A432-0165-42EC-8B88-DF28E29AA2D7}" name="perfdataPerformanceSummary__2" displayName="perfdataPerformanceSummary__2" ref="A1:N42" tableType="queryTable" totalsRowShown="0" headerRowDxfId="68" headerRowBorderDxfId="67" tableBorderDxfId="66" totalsRowBorderDxfId="65">
  <autoFilter ref="A1:N42" xr:uid="{8FD8A432-0165-42EC-8B88-DF28E29AA2D7}"/>
  <tableColumns count="14">
    <tableColumn id="1" xr3:uid="{903990AD-46ED-47EC-8D88-08CBA11C337E}" uniqueName="1" name="Name" queryTableFieldId="1" dataDxfId="64"/>
    <tableColumn id="2" xr3:uid="{7B0D5D9B-FC0C-4FE2-B290-6BFF6A1B1030}" uniqueName="2" name="fps" queryTableFieldId="2" dataDxfId="63" dataCellStyle="20% - Accent2"/>
    <tableColumn id="3" xr3:uid="{7B0D8FEE-FF33-4413-AE93-00E89A7C86D8}" uniqueName="3" name="cpums" queryTableFieldId="3" dataDxfId="62" dataCellStyle="20% - Accent2"/>
    <tableColumn id="4" xr3:uid="{0652D807-2DB2-4919-AC84-3345476A4DE9}" uniqueName="4" name="cms" queryTableFieldId="4" dataDxfId="61"/>
    <tableColumn id="5" xr3:uid="{9218F7E0-6BEB-42DC-8EF8-08AF0519F3D6}" uniqueName="5" name="gms" queryTableFieldId="5" dataDxfId="60"/>
    <tableColumn id="6" xr3:uid="{8E3B0F06-C89A-4743-8774-A1FED0FCD1E9}" uniqueName="6" name="expectedp" queryTableFieldId="6" dataDxfId="59"/>
    <tableColumn id="7" xr3:uid="{ED25F3AB-9415-4872-8F46-030C1DACEB01}" uniqueName="7" name="loadedp" queryTableFieldId="7" dataDxfId="58" dataCellStyle="20% - Accent4"/>
    <tableColumn id="8" xr3:uid="{36210EA7-6DC2-407E-9490-28C7E0D99CDA}" uniqueName="8" name="shaderp_comp" queryTableFieldId="8" dataDxfId="57"/>
    <tableColumn id="9" xr3:uid="{54945593-C787-4AD2-9EAD-0EBA648332ED}" uniqueName="9" name="shaderp_grph" queryTableFieldId="9" dataDxfId="56"/>
    <tableColumn id="10" xr3:uid="{8C6974AA-5C80-4D3B-933D-27CE9927185A}" uniqueName="10" name="expectedc" queryTableFieldId="10" dataDxfId="55"/>
    <tableColumn id="11" xr3:uid="{5A829DF5-956A-4466-B5A8-5C10957F1751}" uniqueName="11" name="shaderc" queryTableFieldId="11" dataDxfId="54"/>
    <tableColumn id="12" xr3:uid="{1E1154A9-002A-4DAC-86A0-3A2A39544887}" uniqueName="12" name="sidelen" queryTableFieldId="12" dataDxfId="53"/>
    <tableColumn id="13" xr3:uid="{2782A4E4-86E1-4FD1-A167-224E5EB3AF63}" uniqueName="13" name="mean" queryTableFieldId="13" dataDxfId="52"/>
    <tableColumn id="14" xr3:uid="{D4DFB3D7-1E45-4A77-BBA4-147B858D9CC4}" uniqueName="14" name="stddev" queryTableFieldId="14" dataDxfId="5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7A366-73BC-4200-9C0E-72578783DD4D}" name="perfdataPerformanceSummary" displayName="perfdataPerformanceSummary" ref="A1:N42" tableType="queryTable" totalsRowShown="0" headerRowDxfId="50" headerRowBorderDxfId="49" tableBorderDxfId="48" totalsRowBorderDxfId="47">
  <autoFilter ref="A1:N42" xr:uid="{3787A366-73BC-4200-9C0E-72578783DD4D}"/>
  <tableColumns count="14">
    <tableColumn id="1" xr3:uid="{386BBD49-2347-4EE9-A732-6E55DF3D61A9}" uniqueName="1" name="Name" queryTableFieldId="1" dataDxfId="46"/>
    <tableColumn id="2" xr3:uid="{9D0BDC5B-EA55-4AF1-B137-B8DBC9C24B28}" uniqueName="2" name="fps" queryTableFieldId="2" dataDxfId="45"/>
    <tableColumn id="3" xr3:uid="{035F5DCA-AC23-4527-A1FB-A652153BD39F}" uniqueName="3" name="cpums" queryTableFieldId="3" dataDxfId="44"/>
    <tableColumn id="4" xr3:uid="{B3A1117D-4D20-4A09-A4A8-293D47C073F8}" uniqueName="4" name="cms" queryTableFieldId="4" dataDxfId="43" dataCellStyle="20% - Accent2"/>
    <tableColumn id="5" xr3:uid="{B53F9B1C-0AF0-4771-B0C8-DC721E96D68B}" uniqueName="5" name="gms" queryTableFieldId="5" dataDxfId="42" dataCellStyle="20% - Accent2"/>
    <tableColumn id="6" xr3:uid="{BBE3ED7F-E7C7-4DF9-812F-F94AB5496FF8}" uniqueName="6" name="expectedp" queryTableFieldId="6" dataDxfId="41"/>
    <tableColumn id="7" xr3:uid="{AE904215-7C8E-4799-8719-F32526E8F49D}" uniqueName="7" name="loadedp" queryTableFieldId="7" dataDxfId="40" dataCellStyle="20% - Accent4"/>
    <tableColumn id="8" xr3:uid="{78932496-EF97-428D-9264-B07F6F97BF90}" uniqueName="8" name="shaderp_comp" queryTableFieldId="8" dataDxfId="39"/>
    <tableColumn id="9" xr3:uid="{EBEF44E5-AF78-4BD3-80C5-D033519A1751}" uniqueName="9" name="shaderp_grph" queryTableFieldId="9" dataDxfId="38"/>
    <tableColumn id="10" xr3:uid="{44FC1515-AD5F-490B-9683-7143BB4FEB4E}" uniqueName="10" name="expectedc" queryTableFieldId="10" dataDxfId="37"/>
    <tableColumn id="11" xr3:uid="{308638BC-E4FF-4296-B11E-1FBED80FB89A}" uniqueName="11" name="shaderc" queryTableFieldId="11" dataDxfId="36"/>
    <tableColumn id="12" xr3:uid="{2E4C53FE-722A-4ED3-B74E-29CACAB83DCB}" uniqueName="12" name="sidelen" queryTableFieldId="12" dataDxfId="35"/>
    <tableColumn id="13" xr3:uid="{50CD87D8-9625-44F2-80AB-F77D483770E5}" uniqueName="13" name="mean" queryTableFieldId="13" dataDxfId="34"/>
    <tableColumn id="14" xr3:uid="{B9D57DB9-2828-4E84-B8BF-0346032F7B23}" uniqueName="14" name="stddev" queryTableFieldId="14"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EEBFA0-423E-4DFF-B69A-C53B650703D0}" name="perfdataPerformanceSummary__5" displayName="perfdataPerformanceSummary__5" ref="A1:N42" tableType="queryTable" totalsRowShown="0" headerRowDxfId="32">
  <autoFilter ref="A1:N42" xr:uid="{92EEBFA0-423E-4DFF-B69A-C53B650703D0}"/>
  <tableColumns count="14">
    <tableColumn id="1" xr3:uid="{F97307F0-FB78-442C-9E82-76917DF3370B}" uniqueName="1" name="Name" queryTableFieldId="1" dataDxfId="31"/>
    <tableColumn id="2" xr3:uid="{9A3820BB-3727-415E-A0D7-C72621EC26C4}" uniqueName="2" name="fps" queryTableFieldId="2" dataDxfId="30"/>
    <tableColumn id="3" xr3:uid="{34069B15-DFC5-4CA6-8F45-5DAAAC70A0AE}" uniqueName="3" name="cpums" queryTableFieldId="3" dataDxfId="29" dataCellStyle="20% - Accent2"/>
    <tableColumn id="4" xr3:uid="{D8C69A9E-9342-4DB2-8794-CDCFC8E4B877}" uniqueName="4" name="cms" queryTableFieldId="4" dataDxfId="28" dataCellStyle="20% - Accent2"/>
    <tableColumn id="5" xr3:uid="{8117754D-A971-4EC5-9E1A-87919D5A72EB}" uniqueName="5" name="gms" queryTableFieldId="5" dataDxfId="27" dataCellStyle="20% - Accent2"/>
    <tableColumn id="6" xr3:uid="{AEDDA4C3-EA40-4533-BA0E-8EE56FE7D443}" uniqueName="6" name="expectedp" queryTableFieldId="6" dataDxfId="26"/>
    <tableColumn id="7" xr3:uid="{8682A676-B6F8-4D85-BD13-20EA55D0519A}" uniqueName="7" name="loadedp" queryTableFieldId="7" dataDxfId="25" dataCellStyle="20% - Accent1"/>
    <tableColumn id="8" xr3:uid="{4B3FBE6F-DEBF-4FA0-A8ED-E6BFAD590C68}" uniqueName="8" name="shaderp_comp" queryTableFieldId="8" dataDxfId="24"/>
    <tableColumn id="9" xr3:uid="{870ECA97-C92A-47DA-BE96-A021A8FFC1B0}" uniqueName="9" name="shaderp_grph" queryTableFieldId="9" dataDxfId="23"/>
    <tableColumn id="10" xr3:uid="{585CA3FD-C3FA-4C9F-9208-8901A687244A}" uniqueName="10" name="expectedc" queryTableFieldId="10" dataDxfId="22"/>
    <tableColumn id="11" xr3:uid="{24EE6B7C-F80F-498D-BF21-4D3A0D03C500}" uniqueName="11" name="shaderc" queryTableFieldId="11" dataDxfId="21"/>
    <tableColumn id="12" xr3:uid="{15949CAF-2974-4B0E-AF22-7364A609E49A}" uniqueName="12" name="sidelen" queryTableFieldId="12" dataDxfId="20"/>
    <tableColumn id="13" xr3:uid="{E2E8F3B8-5A4A-4BA2-B076-43D74B21A6F7}" uniqueName="13" name="mean" queryTableFieldId="13" dataDxfId="19"/>
    <tableColumn id="14" xr3:uid="{5AF48949-3F29-40AE-8B93-07F691733CC2}" uniqueName="14" name="stddev" queryTableFieldId="14" dataDxfId="1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6E6BA0-275B-4B30-BEDE-C987DA8FD42B}" name="perfdataPerformanceSummary__3" displayName="perfdataPerformanceSummary__3" ref="A1:N42" tableType="queryTable" totalsRowShown="0" headerRowDxfId="17" headerRowBorderDxfId="16" tableBorderDxfId="15" totalsRowBorderDxfId="14">
  <autoFilter ref="A1:N42" xr:uid="{676E6BA0-275B-4B30-BEDE-C987DA8FD42B}"/>
  <tableColumns count="14">
    <tableColumn id="1" xr3:uid="{11513AB4-E8A9-4F00-9A96-B1CD232EE5BF}" uniqueName="1" name="Name" queryTableFieldId="1" dataDxfId="13"/>
    <tableColumn id="2" xr3:uid="{379A5074-FCC1-4C74-B48D-C689ED82FDC3}" uniqueName="2" name="fps" queryTableFieldId="2" dataDxfId="12" dataCellStyle="20% - Accent2"/>
    <tableColumn id="3" xr3:uid="{694C8954-88D8-46BE-ADB1-5581B66D2BA9}" uniqueName="3" name="cpums" queryTableFieldId="3" dataDxfId="11" dataCellStyle="20% - Accent2"/>
    <tableColumn id="4" xr3:uid="{B092E139-6CC8-45E6-8016-0BCD61D4CCF1}" uniqueName="4" name="cms" queryTableFieldId="4" dataDxfId="10"/>
    <tableColumn id="5" xr3:uid="{CFD9BD50-B2CA-4D36-B5B8-91CE9606222E}" uniqueName="5" name="gms" queryTableFieldId="5" dataDxfId="9"/>
    <tableColumn id="6" xr3:uid="{BECCFD24-F70D-4936-9318-9A81A7322432}" uniqueName="6" name="expectedp" queryTableFieldId="6" dataDxfId="8"/>
    <tableColumn id="7" xr3:uid="{275B98F2-EB68-46BB-9F5F-5B83AD7DB022}" uniqueName="7" name="loadedp" queryTableFieldId="7" dataDxfId="7" dataCellStyle="20% - Accent4"/>
    <tableColumn id="8" xr3:uid="{F7184618-EC85-464B-872C-C88FCF8EFDD0}" uniqueName="8" name="shaderp_comp" queryTableFieldId="8" dataDxfId="6"/>
    <tableColumn id="9" xr3:uid="{EAD60B6A-37A3-47C9-BB68-B2CF51817704}" uniqueName="9" name="shaderp_grph" queryTableFieldId="9" dataDxfId="5"/>
    <tableColumn id="10" xr3:uid="{A014DABD-6486-425A-B5F0-CAB317B664FB}" uniqueName="10" name="expectedc" queryTableFieldId="10" dataDxfId="4"/>
    <tableColumn id="11" xr3:uid="{5D924F53-4DC5-4674-AB3B-32658170669C}" uniqueName="11" name="shaderc" queryTableFieldId="11" dataDxfId="3"/>
    <tableColumn id="12" xr3:uid="{5541F8ED-5792-4BA3-A31D-27784B70B950}" uniqueName="12" name="sidelen" queryTableFieldId="12" dataDxfId="2"/>
    <tableColumn id="13" xr3:uid="{76AAE304-AE86-4B1B-A72F-E566C0B514FD}" uniqueName="13" name="mean" queryTableFieldId="13" dataDxfId="1"/>
    <tableColumn id="14" xr3:uid="{F5AC6957-1FF7-4B9A-A734-B8D54A2A06BA}" uniqueName="14" name="stddev"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F762-1377-4921-AFFD-C80F72730BD8}">
  <dimension ref="A1:G42"/>
  <sheetViews>
    <sheetView workbookViewId="0">
      <selection activeCell="K36" sqref="K36"/>
    </sheetView>
  </sheetViews>
  <sheetFormatPr defaultRowHeight="15" x14ac:dyDescent="0.25"/>
  <cols>
    <col min="1" max="1" width="73.140625" bestFit="1" customWidth="1"/>
    <col min="2" max="2" width="12.85546875" bestFit="1" customWidth="1"/>
    <col min="3" max="3" width="10.5703125" bestFit="1" customWidth="1"/>
    <col min="4" max="4" width="16.5703125" bestFit="1" customWidth="1"/>
    <col min="5" max="5" width="15.5703125" bestFit="1" customWidth="1"/>
    <col min="6" max="6" width="12.7109375" bestFit="1" customWidth="1"/>
    <col min="7" max="7" width="10.42578125" bestFit="1" customWidth="1"/>
  </cols>
  <sheetData>
    <row r="1" spans="1:7" x14ac:dyDescent="0.25">
      <c r="A1" s="4" t="s">
        <v>0</v>
      </c>
      <c r="B1" s="5" t="s">
        <v>5</v>
      </c>
      <c r="C1" s="5" t="s">
        <v>6</v>
      </c>
      <c r="D1" s="5" t="s">
        <v>7</v>
      </c>
      <c r="E1" s="5" t="s">
        <v>8</v>
      </c>
      <c r="F1" s="5" t="s">
        <v>9</v>
      </c>
      <c r="G1" s="6" t="s">
        <v>10</v>
      </c>
    </row>
    <row r="2" spans="1:7" x14ac:dyDescent="0.25">
      <c r="A2" s="7" t="s">
        <v>55</v>
      </c>
      <c r="B2" s="2">
        <v>32</v>
      </c>
      <c r="C2" s="2">
        <v>32</v>
      </c>
      <c r="D2" s="2">
        <v>32</v>
      </c>
      <c r="E2" s="2">
        <v>32</v>
      </c>
      <c r="F2" s="8">
        <v>16</v>
      </c>
      <c r="G2" s="9">
        <v>16</v>
      </c>
    </row>
    <row r="3" spans="1:7" x14ac:dyDescent="0.25">
      <c r="A3" s="7" t="s">
        <v>56</v>
      </c>
      <c r="B3" s="2">
        <v>1024</v>
      </c>
      <c r="C3" s="2">
        <v>1024</v>
      </c>
      <c r="D3" s="2">
        <v>1024</v>
      </c>
      <c r="E3" s="2">
        <v>1024</v>
      </c>
      <c r="F3" s="8">
        <v>512</v>
      </c>
      <c r="G3" s="9">
        <v>512</v>
      </c>
    </row>
    <row r="4" spans="1:7" x14ac:dyDescent="0.25">
      <c r="A4" s="7" t="s">
        <v>57</v>
      </c>
      <c r="B4" s="2">
        <v>148480</v>
      </c>
      <c r="C4" s="2">
        <v>148480</v>
      </c>
      <c r="D4" s="2">
        <v>148480</v>
      </c>
      <c r="E4" s="2">
        <v>148480</v>
      </c>
      <c r="F4" s="8">
        <v>74240</v>
      </c>
      <c r="G4" s="9">
        <v>74240</v>
      </c>
    </row>
    <row r="5" spans="1:7" x14ac:dyDescent="0.25">
      <c r="A5" s="7" t="s">
        <v>58</v>
      </c>
      <c r="B5" s="2">
        <v>312320</v>
      </c>
      <c r="C5" s="2">
        <v>312320</v>
      </c>
      <c r="D5" s="2">
        <v>312320</v>
      </c>
      <c r="E5" s="2">
        <v>312320</v>
      </c>
      <c r="F5" s="8">
        <v>156160</v>
      </c>
      <c r="G5" s="9">
        <v>156160</v>
      </c>
    </row>
    <row r="6" spans="1:7" x14ac:dyDescent="0.25">
      <c r="A6" s="7" t="s">
        <v>59</v>
      </c>
      <c r="B6" s="2">
        <v>459776</v>
      </c>
      <c r="C6" s="2">
        <v>459776</v>
      </c>
      <c r="D6" s="2">
        <v>459776</v>
      </c>
      <c r="E6" s="2">
        <v>459776</v>
      </c>
      <c r="F6" s="8">
        <v>229888</v>
      </c>
      <c r="G6" s="9">
        <v>229888</v>
      </c>
    </row>
    <row r="7" spans="1:7" x14ac:dyDescent="0.25">
      <c r="A7" s="7" t="s">
        <v>60</v>
      </c>
      <c r="B7" s="2">
        <v>623616</v>
      </c>
      <c r="C7" s="2">
        <v>623616</v>
      </c>
      <c r="D7" s="2">
        <v>623616</v>
      </c>
      <c r="E7" s="2">
        <v>623616</v>
      </c>
      <c r="F7" s="8">
        <v>311808</v>
      </c>
      <c r="G7" s="9">
        <v>311808</v>
      </c>
    </row>
    <row r="8" spans="1:7" x14ac:dyDescent="0.25">
      <c r="A8" s="7" t="s">
        <v>61</v>
      </c>
      <c r="B8" s="2">
        <v>787456</v>
      </c>
      <c r="C8" s="2">
        <v>787456</v>
      </c>
      <c r="D8" s="2">
        <v>787456</v>
      </c>
      <c r="E8" s="2">
        <v>787456</v>
      </c>
      <c r="F8" s="8">
        <v>393728</v>
      </c>
      <c r="G8" s="9">
        <v>393728</v>
      </c>
    </row>
    <row r="9" spans="1:7" x14ac:dyDescent="0.25">
      <c r="A9" s="7" t="s">
        <v>62</v>
      </c>
      <c r="B9" s="2">
        <v>934912</v>
      </c>
      <c r="C9" s="2">
        <v>934912</v>
      </c>
      <c r="D9" s="2">
        <v>934912</v>
      </c>
      <c r="E9" s="2">
        <v>934912</v>
      </c>
      <c r="F9" s="8">
        <v>467456</v>
      </c>
      <c r="G9" s="9">
        <v>467456</v>
      </c>
    </row>
    <row r="10" spans="1:7" x14ac:dyDescent="0.25">
      <c r="A10" s="7" t="s">
        <v>63</v>
      </c>
      <c r="B10" s="2">
        <v>1098752</v>
      </c>
      <c r="C10" s="2">
        <v>1098752</v>
      </c>
      <c r="D10" s="2">
        <v>1098752</v>
      </c>
      <c r="E10" s="2">
        <v>1098752</v>
      </c>
      <c r="F10" s="8">
        <v>549376</v>
      </c>
      <c r="G10" s="9">
        <v>549376</v>
      </c>
    </row>
    <row r="11" spans="1:7" x14ac:dyDescent="0.25">
      <c r="A11" s="7" t="s">
        <v>64</v>
      </c>
      <c r="B11" s="2">
        <v>1262592</v>
      </c>
      <c r="C11" s="2">
        <v>1262592</v>
      </c>
      <c r="D11" s="2">
        <v>1262592</v>
      </c>
      <c r="E11" s="2">
        <v>1262592</v>
      </c>
      <c r="F11" s="8">
        <v>631296</v>
      </c>
      <c r="G11" s="9">
        <v>631296</v>
      </c>
    </row>
    <row r="12" spans="1:7" x14ac:dyDescent="0.25">
      <c r="A12" s="7" t="s">
        <v>65</v>
      </c>
      <c r="B12" s="2">
        <v>1426432</v>
      </c>
      <c r="C12" s="2">
        <v>1426432</v>
      </c>
      <c r="D12" s="2">
        <v>1426432</v>
      </c>
      <c r="E12" s="2">
        <v>1426432</v>
      </c>
      <c r="F12" s="8">
        <v>713216</v>
      </c>
      <c r="G12" s="9">
        <v>713216</v>
      </c>
    </row>
    <row r="13" spans="1:7" x14ac:dyDescent="0.25">
      <c r="A13" s="7" t="s">
        <v>66</v>
      </c>
      <c r="B13" s="2">
        <v>1590272</v>
      </c>
      <c r="C13" s="2">
        <v>1590272</v>
      </c>
      <c r="D13" s="2">
        <v>1590272</v>
      </c>
      <c r="E13" s="2">
        <v>1590272</v>
      </c>
      <c r="F13" s="8">
        <v>795136</v>
      </c>
      <c r="G13" s="9">
        <v>795136</v>
      </c>
    </row>
    <row r="14" spans="1:7" x14ac:dyDescent="0.25">
      <c r="A14" s="7" t="s">
        <v>67</v>
      </c>
      <c r="B14" s="2">
        <v>1754112</v>
      </c>
      <c r="C14" s="2">
        <v>1754112</v>
      </c>
      <c r="D14" s="2">
        <v>1754112</v>
      </c>
      <c r="E14" s="2">
        <v>1754112</v>
      </c>
      <c r="F14" s="8">
        <v>877056</v>
      </c>
      <c r="G14" s="9">
        <v>877056</v>
      </c>
    </row>
    <row r="15" spans="1:7" x14ac:dyDescent="0.25">
      <c r="A15" s="7" t="s">
        <v>68</v>
      </c>
      <c r="B15" s="2">
        <v>1917952</v>
      </c>
      <c r="C15" s="2">
        <v>1917952</v>
      </c>
      <c r="D15" s="2">
        <v>1917952</v>
      </c>
      <c r="E15" s="2">
        <v>1917952</v>
      </c>
      <c r="F15" s="8">
        <v>958976</v>
      </c>
      <c r="G15" s="9">
        <v>958976</v>
      </c>
    </row>
    <row r="16" spans="1:7" x14ac:dyDescent="0.25">
      <c r="A16" s="7" t="s">
        <v>69</v>
      </c>
      <c r="B16" s="2">
        <v>2081792</v>
      </c>
      <c r="C16" s="2">
        <v>2081792</v>
      </c>
      <c r="D16" s="2">
        <v>2081792</v>
      </c>
      <c r="E16" s="2">
        <v>2081792</v>
      </c>
      <c r="F16" s="8">
        <v>1040896</v>
      </c>
      <c r="G16" s="9">
        <v>1040896</v>
      </c>
    </row>
    <row r="17" spans="1:7" x14ac:dyDescent="0.25">
      <c r="A17" s="7" t="s">
        <v>70</v>
      </c>
      <c r="B17" s="2">
        <v>2245632</v>
      </c>
      <c r="C17" s="2">
        <v>2245632</v>
      </c>
      <c r="D17" s="2">
        <v>2245632</v>
      </c>
      <c r="E17" s="2">
        <v>2245632</v>
      </c>
      <c r="F17" s="8">
        <v>1122816</v>
      </c>
      <c r="G17" s="9">
        <v>1122816</v>
      </c>
    </row>
    <row r="18" spans="1:7" x14ac:dyDescent="0.25">
      <c r="A18" s="7" t="s">
        <v>71</v>
      </c>
      <c r="B18" s="2">
        <v>2409472</v>
      </c>
      <c r="C18" s="2">
        <v>2409472</v>
      </c>
      <c r="D18" s="2">
        <v>2409472</v>
      </c>
      <c r="E18" s="2">
        <v>2409472</v>
      </c>
      <c r="F18" s="8">
        <v>1204736</v>
      </c>
      <c r="G18" s="9">
        <v>1204736</v>
      </c>
    </row>
    <row r="19" spans="1:7" x14ac:dyDescent="0.25">
      <c r="A19" s="7" t="s">
        <v>72</v>
      </c>
      <c r="B19" s="2">
        <v>2573312</v>
      </c>
      <c r="C19" s="2">
        <v>2573312</v>
      </c>
      <c r="D19" s="2">
        <v>2573312</v>
      </c>
      <c r="E19" s="2">
        <v>2573312</v>
      </c>
      <c r="F19" s="8">
        <v>1286656</v>
      </c>
      <c r="G19" s="9">
        <v>1286656</v>
      </c>
    </row>
    <row r="20" spans="1:7" x14ac:dyDescent="0.25">
      <c r="A20" s="7" t="s">
        <v>73</v>
      </c>
      <c r="B20" s="2">
        <v>2737152</v>
      </c>
      <c r="C20" s="2">
        <v>2737152</v>
      </c>
      <c r="D20" s="2">
        <v>2737152</v>
      </c>
      <c r="E20" s="2">
        <v>2737152</v>
      </c>
      <c r="F20" s="8">
        <v>1368576</v>
      </c>
      <c r="G20" s="9">
        <v>1368576</v>
      </c>
    </row>
    <row r="21" spans="1:7" x14ac:dyDescent="0.25">
      <c r="A21" s="7" t="s">
        <v>74</v>
      </c>
      <c r="B21" s="2">
        <v>2900992</v>
      </c>
      <c r="C21" s="2">
        <v>2900992</v>
      </c>
      <c r="D21" s="2">
        <v>2900992</v>
      </c>
      <c r="E21" s="2">
        <v>2900992</v>
      </c>
      <c r="F21" s="8">
        <v>1450496</v>
      </c>
      <c r="G21" s="9">
        <v>1450496</v>
      </c>
    </row>
    <row r="22" spans="1:7" x14ac:dyDescent="0.25">
      <c r="A22" s="7" t="s">
        <v>75</v>
      </c>
      <c r="B22" s="2">
        <v>3064832</v>
      </c>
      <c r="C22" s="2">
        <v>3064832</v>
      </c>
      <c r="D22" s="2">
        <v>3064832</v>
      </c>
      <c r="E22" s="2">
        <v>3064832</v>
      </c>
      <c r="F22" s="8">
        <v>1532416</v>
      </c>
      <c r="G22" s="9">
        <v>1532416</v>
      </c>
    </row>
    <row r="23" spans="1:7" x14ac:dyDescent="0.25">
      <c r="A23" s="7" t="s">
        <v>76</v>
      </c>
      <c r="B23" s="2">
        <v>3228672</v>
      </c>
      <c r="C23" s="2">
        <v>3228672</v>
      </c>
      <c r="D23" s="2">
        <v>3228672</v>
      </c>
      <c r="E23" s="2">
        <v>3228672</v>
      </c>
      <c r="F23" s="8">
        <v>1614336</v>
      </c>
      <c r="G23" s="9">
        <v>1614336</v>
      </c>
    </row>
    <row r="24" spans="1:7" x14ac:dyDescent="0.25">
      <c r="A24" s="7" t="s">
        <v>77</v>
      </c>
      <c r="B24" s="2">
        <v>3392512</v>
      </c>
      <c r="C24" s="2">
        <v>3392512</v>
      </c>
      <c r="D24" s="2">
        <v>3392512</v>
      </c>
      <c r="E24" s="2">
        <v>3392512</v>
      </c>
      <c r="F24" s="8">
        <v>1696256</v>
      </c>
      <c r="G24" s="9">
        <v>1696256</v>
      </c>
    </row>
    <row r="25" spans="1:7" x14ac:dyDescent="0.25">
      <c r="A25" s="7" t="s">
        <v>78</v>
      </c>
      <c r="B25" s="2">
        <v>3539968</v>
      </c>
      <c r="C25" s="2">
        <v>3539968</v>
      </c>
      <c r="D25" s="2">
        <v>3539968</v>
      </c>
      <c r="E25" s="2">
        <v>3539968</v>
      </c>
      <c r="F25" s="8">
        <v>1769984</v>
      </c>
      <c r="G25" s="9">
        <v>1769984</v>
      </c>
    </row>
    <row r="26" spans="1:7" x14ac:dyDescent="0.25">
      <c r="A26" s="7" t="s">
        <v>79</v>
      </c>
      <c r="B26" s="2">
        <v>3703808</v>
      </c>
      <c r="C26" s="2">
        <v>3703808</v>
      </c>
      <c r="D26" s="2">
        <v>3703808</v>
      </c>
      <c r="E26" s="2">
        <v>3703808</v>
      </c>
      <c r="F26" s="8">
        <v>1851904</v>
      </c>
      <c r="G26" s="9">
        <v>1851904</v>
      </c>
    </row>
    <row r="27" spans="1:7" x14ac:dyDescent="0.25">
      <c r="A27" s="7" t="s">
        <v>80</v>
      </c>
      <c r="B27" s="2">
        <v>3867648</v>
      </c>
      <c r="C27" s="2">
        <v>3867648</v>
      </c>
      <c r="D27" s="2">
        <v>3867648</v>
      </c>
      <c r="E27" s="2">
        <v>3867648</v>
      </c>
      <c r="F27" s="8">
        <v>1933824</v>
      </c>
      <c r="G27" s="9">
        <v>1933824</v>
      </c>
    </row>
    <row r="28" spans="1:7" x14ac:dyDescent="0.25">
      <c r="A28" s="7" t="s">
        <v>81</v>
      </c>
      <c r="B28" s="2">
        <v>4031488</v>
      </c>
      <c r="C28" s="2">
        <v>4031488</v>
      </c>
      <c r="D28" s="2">
        <v>4031488</v>
      </c>
      <c r="E28" s="2">
        <v>4031488</v>
      </c>
      <c r="F28" s="8">
        <v>2015744</v>
      </c>
      <c r="G28" s="9">
        <v>2015744</v>
      </c>
    </row>
    <row r="29" spans="1:7" x14ac:dyDescent="0.25">
      <c r="A29" s="7" t="s">
        <v>82</v>
      </c>
      <c r="B29" s="2">
        <v>4195328</v>
      </c>
      <c r="C29" s="2">
        <v>4195328</v>
      </c>
      <c r="D29" s="2">
        <v>4195328</v>
      </c>
      <c r="E29" s="2">
        <v>4195328</v>
      </c>
      <c r="F29" s="8">
        <v>2097664</v>
      </c>
      <c r="G29" s="9">
        <v>2097664</v>
      </c>
    </row>
    <row r="30" spans="1:7" x14ac:dyDescent="0.25">
      <c r="A30" s="7" t="s">
        <v>83</v>
      </c>
      <c r="B30" s="2">
        <v>4359168</v>
      </c>
      <c r="C30" s="2">
        <v>4359168</v>
      </c>
      <c r="D30" s="2">
        <v>4359168</v>
      </c>
      <c r="E30" s="2">
        <v>4359168</v>
      </c>
      <c r="F30" s="8">
        <v>2179584</v>
      </c>
      <c r="G30" s="9">
        <v>2179584</v>
      </c>
    </row>
    <row r="31" spans="1:7" x14ac:dyDescent="0.25">
      <c r="A31" s="7" t="s">
        <v>84</v>
      </c>
      <c r="B31" s="2">
        <v>4523008</v>
      </c>
      <c r="C31" s="2">
        <v>4523008</v>
      </c>
      <c r="D31" s="2">
        <v>4523008</v>
      </c>
      <c r="E31" s="2">
        <v>4523008</v>
      </c>
      <c r="F31" s="8">
        <v>2261504</v>
      </c>
      <c r="G31" s="9">
        <v>2261504</v>
      </c>
    </row>
    <row r="32" spans="1:7" x14ac:dyDescent="0.25">
      <c r="A32" s="7" t="s">
        <v>85</v>
      </c>
      <c r="B32" s="2">
        <v>4686848</v>
      </c>
      <c r="C32" s="2">
        <v>4686848</v>
      </c>
      <c r="D32" s="2">
        <v>4686848</v>
      </c>
      <c r="E32" s="2">
        <v>4686848</v>
      </c>
      <c r="F32" s="8">
        <v>2343424</v>
      </c>
      <c r="G32" s="9">
        <v>2343424</v>
      </c>
    </row>
    <row r="33" spans="1:7" x14ac:dyDescent="0.25">
      <c r="A33" s="7" t="s">
        <v>86</v>
      </c>
      <c r="B33" s="2">
        <v>4850688</v>
      </c>
      <c r="C33" s="2">
        <v>4850688</v>
      </c>
      <c r="D33" s="2">
        <v>4850688</v>
      </c>
      <c r="E33" s="2">
        <v>4850688</v>
      </c>
      <c r="F33" s="8">
        <v>2425344</v>
      </c>
      <c r="G33" s="9">
        <v>2425344</v>
      </c>
    </row>
    <row r="34" spans="1:7" x14ac:dyDescent="0.25">
      <c r="A34" s="7" t="s">
        <v>87</v>
      </c>
      <c r="B34" s="2">
        <v>5014528</v>
      </c>
      <c r="C34" s="2">
        <v>5014528</v>
      </c>
      <c r="D34" s="2">
        <v>5014528</v>
      </c>
      <c r="E34" s="2">
        <v>5014528</v>
      </c>
      <c r="F34" s="8">
        <v>2507264</v>
      </c>
      <c r="G34" s="9">
        <v>2507264</v>
      </c>
    </row>
    <row r="35" spans="1:7" x14ac:dyDescent="0.25">
      <c r="A35" s="7" t="s">
        <v>88</v>
      </c>
      <c r="B35" s="2">
        <v>5178368</v>
      </c>
      <c r="C35" s="2">
        <v>5178368</v>
      </c>
      <c r="D35" s="2">
        <v>5178368</v>
      </c>
      <c r="E35" s="2">
        <v>5178368</v>
      </c>
      <c r="F35" s="8">
        <v>2589184</v>
      </c>
      <c r="G35" s="9">
        <v>2589184</v>
      </c>
    </row>
    <row r="36" spans="1:7" x14ac:dyDescent="0.25">
      <c r="A36" s="7" t="s">
        <v>89</v>
      </c>
      <c r="B36" s="2">
        <v>5342208</v>
      </c>
      <c r="C36" s="2">
        <v>5342208</v>
      </c>
      <c r="D36" s="2">
        <v>5342208</v>
      </c>
      <c r="E36" s="2">
        <v>5342208</v>
      </c>
      <c r="F36" s="8">
        <v>2671104</v>
      </c>
      <c r="G36" s="9">
        <v>2671104</v>
      </c>
    </row>
    <row r="37" spans="1:7" x14ac:dyDescent="0.25">
      <c r="A37" s="7" t="s">
        <v>90</v>
      </c>
      <c r="B37" s="2">
        <v>5506048</v>
      </c>
      <c r="C37" s="2">
        <v>5506048</v>
      </c>
      <c r="D37" s="2">
        <v>5506048</v>
      </c>
      <c r="E37" s="2">
        <v>5506048</v>
      </c>
      <c r="F37" s="8">
        <v>2753024</v>
      </c>
      <c r="G37" s="9">
        <v>2753024</v>
      </c>
    </row>
    <row r="38" spans="1:7" x14ac:dyDescent="0.25">
      <c r="A38" s="7" t="s">
        <v>91</v>
      </c>
      <c r="B38" s="2">
        <v>5669888</v>
      </c>
      <c r="C38" s="2">
        <v>5669888</v>
      </c>
      <c r="D38" s="2">
        <v>5669888</v>
      </c>
      <c r="E38" s="2">
        <v>5669888</v>
      </c>
      <c r="F38" s="8">
        <v>2834944</v>
      </c>
      <c r="G38" s="9">
        <v>2834944</v>
      </c>
    </row>
    <row r="39" spans="1:7" x14ac:dyDescent="0.25">
      <c r="A39" s="7" t="s">
        <v>92</v>
      </c>
      <c r="B39" s="2">
        <v>5833728</v>
      </c>
      <c r="C39" s="2">
        <v>5833728</v>
      </c>
      <c r="D39" s="2">
        <v>5833728</v>
      </c>
      <c r="E39" s="2">
        <v>5833728</v>
      </c>
      <c r="F39" s="8">
        <v>2916864</v>
      </c>
      <c r="G39" s="9">
        <v>2916864</v>
      </c>
    </row>
    <row r="40" spans="1:7" x14ac:dyDescent="0.25">
      <c r="A40" s="7" t="s">
        <v>93</v>
      </c>
      <c r="B40" s="2">
        <v>5997568</v>
      </c>
      <c r="C40" s="2">
        <v>5997568</v>
      </c>
      <c r="D40" s="2">
        <v>5997568</v>
      </c>
      <c r="E40" s="2">
        <v>5997568</v>
      </c>
      <c r="F40" s="8">
        <v>2998784</v>
      </c>
      <c r="G40" s="9">
        <v>2998784</v>
      </c>
    </row>
    <row r="41" spans="1:7" x14ac:dyDescent="0.25">
      <c r="A41" s="7" t="s">
        <v>94</v>
      </c>
      <c r="B41" s="2">
        <v>6161408</v>
      </c>
      <c r="C41" s="2">
        <v>6161408</v>
      </c>
      <c r="D41" s="2">
        <v>6161408</v>
      </c>
      <c r="E41" s="2">
        <v>6161408</v>
      </c>
      <c r="F41" s="8">
        <v>3080704</v>
      </c>
      <c r="G41" s="9">
        <v>3080704</v>
      </c>
    </row>
    <row r="42" spans="1:7" x14ac:dyDescent="0.25">
      <c r="A42" s="10" t="s">
        <v>95</v>
      </c>
      <c r="B42" s="15">
        <v>10470400</v>
      </c>
      <c r="C42" s="15">
        <v>10470400</v>
      </c>
      <c r="D42" s="15">
        <v>10470400</v>
      </c>
      <c r="E42" s="15">
        <v>10470400</v>
      </c>
      <c r="F42" s="11">
        <v>5235200</v>
      </c>
      <c r="G42" s="12">
        <v>5235200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7998-49B6-4840-9962-1811C0460B70}">
  <dimension ref="A1:N42"/>
  <sheetViews>
    <sheetView workbookViewId="0">
      <selection activeCell="E15" sqref="E15"/>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2">
        <v>8236.99</v>
      </c>
      <c r="C2" s="2">
        <v>1.3638999999999999E-4</v>
      </c>
      <c r="D2" s="1">
        <v>0</v>
      </c>
      <c r="E2" s="1">
        <v>0</v>
      </c>
      <c r="F2" s="1">
        <v>0</v>
      </c>
      <c r="G2" s="8">
        <v>32</v>
      </c>
      <c r="H2" s="1">
        <v>0</v>
      </c>
      <c r="I2" s="1">
        <v>0</v>
      </c>
      <c r="J2" s="1">
        <v>16</v>
      </c>
      <c r="K2" s="1">
        <v>0</v>
      </c>
      <c r="L2" s="1">
        <v>4</v>
      </c>
      <c r="M2" s="1">
        <v>7706.7269999999999</v>
      </c>
      <c r="N2" s="14">
        <v>273.55726599541998</v>
      </c>
    </row>
    <row r="3" spans="1:14" x14ac:dyDescent="0.25">
      <c r="A3" s="7" t="s">
        <v>15</v>
      </c>
      <c r="B3" s="2">
        <v>8356.65</v>
      </c>
      <c r="C3" s="2">
        <v>1.2880500000000001E-4</v>
      </c>
      <c r="D3" s="1">
        <v>0</v>
      </c>
      <c r="E3" s="1">
        <v>0</v>
      </c>
      <c r="F3" s="1">
        <v>0</v>
      </c>
      <c r="G3" s="8">
        <v>1024</v>
      </c>
      <c r="H3" s="1">
        <v>0</v>
      </c>
      <c r="I3" s="1">
        <v>0</v>
      </c>
      <c r="J3" s="1">
        <v>512</v>
      </c>
      <c r="K3" s="1">
        <v>0</v>
      </c>
      <c r="L3" s="1">
        <v>8</v>
      </c>
      <c r="M3" s="1">
        <v>8116.7139999999999</v>
      </c>
      <c r="N3" s="14">
        <v>196.83806622590947</v>
      </c>
    </row>
    <row r="4" spans="1:14" x14ac:dyDescent="0.25">
      <c r="A4" s="7" t="s">
        <v>16</v>
      </c>
      <c r="B4" s="2">
        <v>1253.9000000000001</v>
      </c>
      <c r="C4" s="2">
        <v>8.4250000000000004E-4</v>
      </c>
      <c r="D4" s="1">
        <v>0</v>
      </c>
      <c r="E4" s="1">
        <v>0</v>
      </c>
      <c r="F4" s="1">
        <v>0</v>
      </c>
      <c r="G4" s="8">
        <v>148480</v>
      </c>
      <c r="H4" s="1">
        <v>0</v>
      </c>
      <c r="I4" s="1">
        <v>0</v>
      </c>
      <c r="J4" s="1">
        <v>74240</v>
      </c>
      <c r="K4" s="1">
        <v>0</v>
      </c>
      <c r="L4" s="1">
        <v>29</v>
      </c>
      <c r="M4" s="1">
        <v>1238.568</v>
      </c>
      <c r="N4" s="14">
        <v>19.62778348271766</v>
      </c>
    </row>
    <row r="5" spans="1:14" x14ac:dyDescent="0.25">
      <c r="A5" s="7" t="s">
        <v>17</v>
      </c>
      <c r="B5" s="2">
        <v>539.99300000000005</v>
      </c>
      <c r="C5" s="2">
        <v>1.89693E-3</v>
      </c>
      <c r="D5" s="1">
        <v>0</v>
      </c>
      <c r="E5" s="1">
        <v>0</v>
      </c>
      <c r="F5" s="1">
        <v>0</v>
      </c>
      <c r="G5" s="8">
        <v>312320</v>
      </c>
      <c r="H5" s="1">
        <v>0</v>
      </c>
      <c r="I5" s="1">
        <v>0</v>
      </c>
      <c r="J5" s="1">
        <v>156160</v>
      </c>
      <c r="K5" s="1">
        <v>0</v>
      </c>
      <c r="L5" s="1">
        <v>36</v>
      </c>
      <c r="M5" s="1">
        <v>537.31100000000004</v>
      </c>
      <c r="N5" s="14">
        <v>3.7901768355110255</v>
      </c>
    </row>
    <row r="6" spans="1:14" x14ac:dyDescent="0.25">
      <c r="A6" s="7" t="s">
        <v>18</v>
      </c>
      <c r="B6" s="2">
        <v>366.62400000000002</v>
      </c>
      <c r="C6" s="2">
        <v>2.8176400000000002E-3</v>
      </c>
      <c r="D6" s="1">
        <v>0</v>
      </c>
      <c r="E6" s="1">
        <v>0</v>
      </c>
      <c r="F6" s="1">
        <v>0</v>
      </c>
      <c r="G6" s="8">
        <v>459776</v>
      </c>
      <c r="H6" s="1">
        <v>0</v>
      </c>
      <c r="I6" s="1">
        <v>0</v>
      </c>
      <c r="J6" s="1">
        <v>229888</v>
      </c>
      <c r="K6" s="1">
        <v>0</v>
      </c>
      <c r="L6" s="1">
        <v>41</v>
      </c>
      <c r="M6" s="1">
        <v>364.40550000000002</v>
      </c>
      <c r="N6" s="14">
        <v>3.4435223003972837</v>
      </c>
    </row>
    <row r="7" spans="1:14" x14ac:dyDescent="0.25">
      <c r="A7" s="7" t="s">
        <v>19</v>
      </c>
      <c r="B7" s="2">
        <v>260.52100000000002</v>
      </c>
      <c r="C7" s="2">
        <v>3.89215E-3</v>
      </c>
      <c r="D7" s="1">
        <v>0</v>
      </c>
      <c r="E7" s="1">
        <v>0</v>
      </c>
      <c r="F7" s="1">
        <v>0</v>
      </c>
      <c r="G7" s="8">
        <v>623616</v>
      </c>
      <c r="H7" s="1">
        <v>0</v>
      </c>
      <c r="I7" s="1">
        <v>0</v>
      </c>
      <c r="J7" s="1">
        <v>311808</v>
      </c>
      <c r="K7" s="1">
        <v>0</v>
      </c>
      <c r="L7" s="1">
        <v>45</v>
      </c>
      <c r="M7" s="1">
        <v>259.2944</v>
      </c>
      <c r="N7" s="14">
        <v>1.1241848602431868</v>
      </c>
    </row>
    <row r="8" spans="1:14" x14ac:dyDescent="0.25">
      <c r="A8" s="7" t="s">
        <v>20</v>
      </c>
      <c r="B8" s="2">
        <v>220.47900000000001</v>
      </c>
      <c r="C8" s="2">
        <v>4.6515999999999997E-3</v>
      </c>
      <c r="D8" s="1">
        <v>0</v>
      </c>
      <c r="E8" s="1">
        <v>0</v>
      </c>
      <c r="F8" s="1">
        <v>0</v>
      </c>
      <c r="G8" s="8">
        <v>787456</v>
      </c>
      <c r="H8" s="1">
        <v>0</v>
      </c>
      <c r="I8" s="1">
        <v>0</v>
      </c>
      <c r="J8" s="1">
        <v>393728</v>
      </c>
      <c r="K8" s="1">
        <v>0</v>
      </c>
      <c r="L8" s="1">
        <v>49</v>
      </c>
      <c r="M8" s="1">
        <v>217.88339999999999</v>
      </c>
      <c r="N8" s="14">
        <v>1.5071706531703011</v>
      </c>
    </row>
    <row r="9" spans="1:14" x14ac:dyDescent="0.25">
      <c r="A9" s="7" t="s">
        <v>21</v>
      </c>
      <c r="B9" s="2">
        <v>185.23400000000001</v>
      </c>
      <c r="C9" s="2">
        <v>5.5022500000000002E-3</v>
      </c>
      <c r="D9" s="1">
        <v>0</v>
      </c>
      <c r="E9" s="1">
        <v>0</v>
      </c>
      <c r="F9" s="1">
        <v>0</v>
      </c>
      <c r="G9" s="8">
        <v>934912</v>
      </c>
      <c r="H9" s="1">
        <v>0</v>
      </c>
      <c r="I9" s="1">
        <v>0</v>
      </c>
      <c r="J9" s="1">
        <v>467456</v>
      </c>
      <c r="K9" s="1">
        <v>0</v>
      </c>
      <c r="L9" s="1">
        <v>51</v>
      </c>
      <c r="M9" s="1">
        <v>183.03899999999999</v>
      </c>
      <c r="N9" s="14">
        <v>1.0262216568017326</v>
      </c>
    </row>
    <row r="10" spans="1:14" x14ac:dyDescent="0.25">
      <c r="A10" s="7" t="s">
        <v>22</v>
      </c>
      <c r="B10" s="2">
        <v>159.61000000000001</v>
      </c>
      <c r="C10" s="2">
        <v>6.4584999999999998E-3</v>
      </c>
      <c r="D10" s="1">
        <v>0</v>
      </c>
      <c r="E10" s="1">
        <v>0</v>
      </c>
      <c r="F10" s="1">
        <v>0</v>
      </c>
      <c r="G10" s="8">
        <v>1098752</v>
      </c>
      <c r="H10" s="1">
        <v>0</v>
      </c>
      <c r="I10" s="1">
        <v>0</v>
      </c>
      <c r="J10" s="1">
        <v>549376</v>
      </c>
      <c r="K10" s="1">
        <v>0</v>
      </c>
      <c r="L10" s="1">
        <v>54</v>
      </c>
      <c r="M10" s="1">
        <v>156.7961</v>
      </c>
      <c r="N10" s="14">
        <v>1.2928293218965765</v>
      </c>
    </row>
    <row r="11" spans="1:14" x14ac:dyDescent="0.25">
      <c r="A11" s="7" t="s">
        <v>23</v>
      </c>
      <c r="B11" s="2">
        <v>138.167</v>
      </c>
      <c r="C11" s="2">
        <v>7.3743300000000001E-3</v>
      </c>
      <c r="D11" s="1">
        <v>0</v>
      </c>
      <c r="E11" s="1">
        <v>0</v>
      </c>
      <c r="F11" s="1">
        <v>0</v>
      </c>
      <c r="G11" s="8">
        <v>1262592</v>
      </c>
      <c r="H11" s="1">
        <v>0</v>
      </c>
      <c r="I11" s="1">
        <v>0</v>
      </c>
      <c r="J11" s="1">
        <v>631296</v>
      </c>
      <c r="K11" s="1">
        <v>0</v>
      </c>
      <c r="L11" s="1">
        <v>57</v>
      </c>
      <c r="M11" s="1">
        <v>137.08510000000001</v>
      </c>
      <c r="N11" s="14">
        <v>0.67250121024261444</v>
      </c>
    </row>
    <row r="12" spans="1:14" x14ac:dyDescent="0.25">
      <c r="A12" s="7" t="s">
        <v>24</v>
      </c>
      <c r="B12" s="2">
        <v>120.548</v>
      </c>
      <c r="C12" s="2">
        <v>8.3865499999999996E-3</v>
      </c>
      <c r="D12" s="1">
        <v>0</v>
      </c>
      <c r="E12" s="1">
        <v>0</v>
      </c>
      <c r="F12" s="1">
        <v>0</v>
      </c>
      <c r="G12" s="8">
        <v>1426432</v>
      </c>
      <c r="H12" s="1">
        <v>0</v>
      </c>
      <c r="I12" s="1">
        <v>0</v>
      </c>
      <c r="J12" s="1">
        <v>713216</v>
      </c>
      <c r="K12" s="1">
        <v>0</v>
      </c>
      <c r="L12" s="1">
        <v>59</v>
      </c>
      <c r="M12" s="1">
        <v>119.8486</v>
      </c>
      <c r="N12" s="14">
        <v>0.51235300330924127</v>
      </c>
    </row>
    <row r="13" spans="1:14" x14ac:dyDescent="0.25">
      <c r="A13" s="7" t="s">
        <v>25</v>
      </c>
      <c r="B13" s="2">
        <v>110.774</v>
      </c>
      <c r="C13" s="2">
        <v>9.1552300000000003E-3</v>
      </c>
      <c r="D13" s="1">
        <v>0</v>
      </c>
      <c r="E13" s="1">
        <v>0</v>
      </c>
      <c r="F13" s="1">
        <v>0</v>
      </c>
      <c r="G13" s="8">
        <v>1590272</v>
      </c>
      <c r="H13" s="1">
        <v>0</v>
      </c>
      <c r="I13" s="1">
        <v>0</v>
      </c>
      <c r="J13" s="1">
        <v>795136</v>
      </c>
      <c r="K13" s="1">
        <v>0</v>
      </c>
      <c r="L13" s="1">
        <v>61</v>
      </c>
      <c r="M13" s="1">
        <v>109.9301</v>
      </c>
      <c r="N13" s="14">
        <v>0.54539739843734114</v>
      </c>
    </row>
    <row r="14" spans="1:14" x14ac:dyDescent="0.25">
      <c r="A14" s="7" t="s">
        <v>26</v>
      </c>
      <c r="B14" s="2">
        <v>100.996</v>
      </c>
      <c r="C14" s="2">
        <v>1.0059800000000001E-2</v>
      </c>
      <c r="D14" s="1">
        <v>0</v>
      </c>
      <c r="E14" s="1">
        <v>0</v>
      </c>
      <c r="F14" s="1">
        <v>0</v>
      </c>
      <c r="G14" s="8">
        <v>1754112</v>
      </c>
      <c r="H14" s="1">
        <v>0</v>
      </c>
      <c r="I14" s="1">
        <v>0</v>
      </c>
      <c r="J14" s="1">
        <v>877056</v>
      </c>
      <c r="K14" s="1">
        <v>0</v>
      </c>
      <c r="L14" s="1">
        <v>63</v>
      </c>
      <c r="M14" s="1">
        <v>100.28685</v>
      </c>
      <c r="N14" s="14">
        <v>0.57167275847094268</v>
      </c>
    </row>
    <row r="15" spans="1:14" x14ac:dyDescent="0.25">
      <c r="A15" s="7" t="s">
        <v>27</v>
      </c>
      <c r="B15" s="2">
        <v>93.513400000000004</v>
      </c>
      <c r="C15" s="2">
        <v>1.10122E-2</v>
      </c>
      <c r="D15" s="1">
        <v>0</v>
      </c>
      <c r="E15" s="1">
        <v>0</v>
      </c>
      <c r="F15" s="1">
        <v>0</v>
      </c>
      <c r="G15" s="8">
        <v>1917952</v>
      </c>
      <c r="H15" s="1">
        <v>0</v>
      </c>
      <c r="I15" s="1">
        <v>0</v>
      </c>
      <c r="J15" s="1">
        <v>958976</v>
      </c>
      <c r="K15" s="1">
        <v>0</v>
      </c>
      <c r="L15" s="1">
        <v>65</v>
      </c>
      <c r="M15" s="1">
        <v>92.066770000000005</v>
      </c>
      <c r="N15" s="14">
        <v>0.77501939337742531</v>
      </c>
    </row>
    <row r="16" spans="1:14" x14ac:dyDescent="0.25">
      <c r="A16" s="7" t="s">
        <v>28</v>
      </c>
      <c r="B16" s="2">
        <v>85.689400000000006</v>
      </c>
      <c r="C16" s="2">
        <v>1.1902599999999999E-2</v>
      </c>
      <c r="D16" s="1">
        <v>0</v>
      </c>
      <c r="E16" s="1">
        <v>0</v>
      </c>
      <c r="F16" s="1">
        <v>0</v>
      </c>
      <c r="G16" s="8">
        <v>2081792</v>
      </c>
      <c r="H16" s="1">
        <v>0</v>
      </c>
      <c r="I16" s="1">
        <v>0</v>
      </c>
      <c r="J16" s="1">
        <v>1040896</v>
      </c>
      <c r="K16" s="1">
        <v>0</v>
      </c>
      <c r="L16" s="1">
        <v>66</v>
      </c>
      <c r="M16" s="1">
        <v>84.64761</v>
      </c>
      <c r="N16" s="14">
        <v>0.49798719182547552</v>
      </c>
    </row>
    <row r="17" spans="1:14" x14ac:dyDescent="0.25">
      <c r="A17" s="7" t="s">
        <v>29</v>
      </c>
      <c r="B17" s="2">
        <v>79.660499999999999</v>
      </c>
      <c r="C17" s="2">
        <v>1.2866499999999999E-2</v>
      </c>
      <c r="D17" s="1">
        <v>0</v>
      </c>
      <c r="E17" s="1">
        <v>0</v>
      </c>
      <c r="F17" s="1">
        <v>0</v>
      </c>
      <c r="G17" s="8">
        <v>2245632</v>
      </c>
      <c r="H17" s="1">
        <v>0</v>
      </c>
      <c r="I17" s="1">
        <v>0</v>
      </c>
      <c r="J17" s="1">
        <v>1122816</v>
      </c>
      <c r="K17" s="1">
        <v>0</v>
      </c>
      <c r="L17" s="1">
        <v>68</v>
      </c>
      <c r="M17" s="1">
        <v>78.437100000000001</v>
      </c>
      <c r="N17" s="14">
        <v>0.53370233692990787</v>
      </c>
    </row>
    <row r="18" spans="1:14" x14ac:dyDescent="0.25">
      <c r="A18" s="7" t="s">
        <v>30</v>
      </c>
      <c r="B18" s="2">
        <v>75.424099999999996</v>
      </c>
      <c r="C18" s="2">
        <v>1.3696699999999999E-2</v>
      </c>
      <c r="D18" s="1">
        <v>0</v>
      </c>
      <c r="E18" s="1">
        <v>0</v>
      </c>
      <c r="F18" s="1">
        <v>0</v>
      </c>
      <c r="G18" s="8">
        <v>2409472</v>
      </c>
      <c r="H18" s="1">
        <v>0</v>
      </c>
      <c r="I18" s="1">
        <v>0</v>
      </c>
      <c r="J18" s="1">
        <v>1204736</v>
      </c>
      <c r="K18" s="1">
        <v>0</v>
      </c>
      <c r="L18" s="1">
        <v>70</v>
      </c>
      <c r="M18" s="1">
        <v>73.823340000000002</v>
      </c>
      <c r="N18" s="14">
        <v>0.62894375159203553</v>
      </c>
    </row>
    <row r="19" spans="1:14" x14ac:dyDescent="0.25">
      <c r="A19" s="7" t="s">
        <v>31</v>
      </c>
      <c r="B19" s="2">
        <v>71.001099999999994</v>
      </c>
      <c r="C19" s="2">
        <v>1.46757E-2</v>
      </c>
      <c r="D19" s="1">
        <v>0</v>
      </c>
      <c r="E19" s="1">
        <v>0</v>
      </c>
      <c r="F19" s="1">
        <v>0</v>
      </c>
      <c r="G19" s="8">
        <v>2573312</v>
      </c>
      <c r="H19" s="1">
        <v>0</v>
      </c>
      <c r="I19" s="1">
        <v>0</v>
      </c>
      <c r="J19" s="1">
        <v>1286656</v>
      </c>
      <c r="K19" s="1">
        <v>0</v>
      </c>
      <c r="L19" s="1">
        <v>71</v>
      </c>
      <c r="M19" s="1">
        <v>69.107870000000005</v>
      </c>
      <c r="N19" s="14">
        <v>0.83409346671833973</v>
      </c>
    </row>
    <row r="20" spans="1:14" x14ac:dyDescent="0.25">
      <c r="A20" s="7" t="s">
        <v>32</v>
      </c>
      <c r="B20" s="2">
        <v>67.277699999999996</v>
      </c>
      <c r="C20" s="2">
        <v>1.5502200000000001E-2</v>
      </c>
      <c r="D20" s="1">
        <v>0</v>
      </c>
      <c r="E20" s="1">
        <v>0</v>
      </c>
      <c r="F20" s="1">
        <v>0</v>
      </c>
      <c r="G20" s="8">
        <v>2737152</v>
      </c>
      <c r="H20" s="1">
        <v>0</v>
      </c>
      <c r="I20" s="1">
        <v>0</v>
      </c>
      <c r="J20" s="1">
        <v>1368576</v>
      </c>
      <c r="K20" s="1">
        <v>0</v>
      </c>
      <c r="L20" s="1">
        <v>72</v>
      </c>
      <c r="M20" s="1">
        <v>65.275999999999996</v>
      </c>
      <c r="N20" s="14">
        <v>0.85248096231593828</v>
      </c>
    </row>
    <row r="21" spans="1:14" x14ac:dyDescent="0.25">
      <c r="A21" s="7" t="s">
        <v>33</v>
      </c>
      <c r="B21" s="2">
        <v>62.272599999999997</v>
      </c>
      <c r="C21" s="2">
        <v>1.6559000000000001E-2</v>
      </c>
      <c r="D21" s="1">
        <v>0</v>
      </c>
      <c r="E21" s="1">
        <v>0</v>
      </c>
      <c r="F21" s="1">
        <v>0</v>
      </c>
      <c r="G21" s="8">
        <v>2900992</v>
      </c>
      <c r="H21" s="1">
        <v>0</v>
      </c>
      <c r="I21" s="1">
        <v>0</v>
      </c>
      <c r="J21" s="1">
        <v>1450496</v>
      </c>
      <c r="K21" s="1">
        <v>0</v>
      </c>
      <c r="L21" s="1">
        <v>74</v>
      </c>
      <c r="M21" s="1">
        <v>61.18085</v>
      </c>
      <c r="N21" s="14">
        <v>0.54102055875909072</v>
      </c>
    </row>
    <row r="22" spans="1:14" x14ac:dyDescent="0.25">
      <c r="A22" s="7" t="s">
        <v>34</v>
      </c>
      <c r="B22" s="2">
        <v>58.6967</v>
      </c>
      <c r="C22" s="2">
        <v>1.7507600000000002E-2</v>
      </c>
      <c r="D22" s="1">
        <v>0</v>
      </c>
      <c r="E22" s="1">
        <v>0</v>
      </c>
      <c r="F22" s="1">
        <v>0</v>
      </c>
      <c r="G22" s="8">
        <v>3064832</v>
      </c>
      <c r="H22" s="1">
        <v>0</v>
      </c>
      <c r="I22" s="1">
        <v>0</v>
      </c>
      <c r="J22" s="1">
        <v>1532416</v>
      </c>
      <c r="K22" s="1">
        <v>0</v>
      </c>
      <c r="L22" s="1">
        <v>75</v>
      </c>
      <c r="M22" s="1">
        <v>57.619059999999998</v>
      </c>
      <c r="N22" s="14">
        <v>0.49448425702386495</v>
      </c>
    </row>
    <row r="23" spans="1:14" x14ac:dyDescent="0.25">
      <c r="A23" s="7" t="s">
        <v>35</v>
      </c>
      <c r="B23" s="2">
        <v>57.431699999999999</v>
      </c>
      <c r="C23" s="2">
        <v>1.8317799999999999E-2</v>
      </c>
      <c r="D23" s="1">
        <v>0</v>
      </c>
      <c r="E23" s="1">
        <v>0</v>
      </c>
      <c r="F23" s="1">
        <v>0</v>
      </c>
      <c r="G23" s="8">
        <v>3228672</v>
      </c>
      <c r="H23" s="1">
        <v>0</v>
      </c>
      <c r="I23" s="1">
        <v>0</v>
      </c>
      <c r="J23" s="1">
        <v>1614336</v>
      </c>
      <c r="K23" s="1">
        <v>0</v>
      </c>
      <c r="L23" s="1">
        <v>76</v>
      </c>
      <c r="M23" s="1">
        <v>55.326799999999999</v>
      </c>
      <c r="N23" s="14">
        <v>0.79252194782086438</v>
      </c>
    </row>
    <row r="24" spans="1:14" x14ac:dyDescent="0.25">
      <c r="A24" s="7" t="s">
        <v>36</v>
      </c>
      <c r="B24" s="2">
        <v>54.402700000000003</v>
      </c>
      <c r="C24" s="2">
        <v>1.9149200000000002E-2</v>
      </c>
      <c r="D24" s="1">
        <v>0</v>
      </c>
      <c r="E24" s="1">
        <v>0</v>
      </c>
      <c r="F24" s="1">
        <v>0</v>
      </c>
      <c r="G24" s="8">
        <v>3392512</v>
      </c>
      <c r="H24" s="1">
        <v>0</v>
      </c>
      <c r="I24" s="1">
        <v>0</v>
      </c>
      <c r="J24" s="1">
        <v>1696256</v>
      </c>
      <c r="K24" s="1">
        <v>0</v>
      </c>
      <c r="L24" s="1">
        <v>78</v>
      </c>
      <c r="M24" s="1">
        <v>52.743630000000003</v>
      </c>
      <c r="N24" s="14">
        <v>0.64079552302847242</v>
      </c>
    </row>
    <row r="25" spans="1:14" x14ac:dyDescent="0.25">
      <c r="A25" s="7" t="s">
        <v>37</v>
      </c>
      <c r="B25" s="2">
        <v>52.412500000000001</v>
      </c>
      <c r="C25" s="2">
        <v>2.01589E-2</v>
      </c>
      <c r="D25" s="1">
        <v>0</v>
      </c>
      <c r="E25" s="1">
        <v>0</v>
      </c>
      <c r="F25" s="1">
        <v>0</v>
      </c>
      <c r="G25" s="8">
        <v>3539968</v>
      </c>
      <c r="H25" s="1">
        <v>0</v>
      </c>
      <c r="I25" s="1">
        <v>0</v>
      </c>
      <c r="J25" s="1">
        <v>1769984</v>
      </c>
      <c r="K25" s="1">
        <v>0</v>
      </c>
      <c r="L25" s="1">
        <v>79</v>
      </c>
      <c r="M25" s="1">
        <v>50.518529999999998</v>
      </c>
      <c r="N25" s="14">
        <v>0.76294114532001889</v>
      </c>
    </row>
    <row r="26" spans="1:14" x14ac:dyDescent="0.25">
      <c r="A26" s="7" t="s">
        <v>38</v>
      </c>
      <c r="B26" s="2">
        <v>50.311100000000003</v>
      </c>
      <c r="C26" s="2">
        <v>2.0879700000000001E-2</v>
      </c>
      <c r="D26" s="1">
        <v>0</v>
      </c>
      <c r="E26" s="1">
        <v>0</v>
      </c>
      <c r="F26" s="1">
        <v>0</v>
      </c>
      <c r="G26" s="8">
        <v>3703808</v>
      </c>
      <c r="H26" s="1">
        <v>0</v>
      </c>
      <c r="I26" s="1">
        <v>0</v>
      </c>
      <c r="J26" s="1">
        <v>1851904</v>
      </c>
      <c r="K26" s="1">
        <v>0</v>
      </c>
      <c r="L26" s="1">
        <v>80</v>
      </c>
      <c r="M26" s="1">
        <v>48.633589999999998</v>
      </c>
      <c r="N26" s="14">
        <v>0.65987309124979188</v>
      </c>
    </row>
    <row r="27" spans="1:14" x14ac:dyDescent="0.25">
      <c r="A27" s="7" t="s">
        <v>39</v>
      </c>
      <c r="B27" s="2">
        <v>47.8825</v>
      </c>
      <c r="C27" s="2">
        <v>2.17579E-2</v>
      </c>
      <c r="D27" s="1">
        <v>0</v>
      </c>
      <c r="E27" s="1">
        <v>0</v>
      </c>
      <c r="F27" s="1">
        <v>0</v>
      </c>
      <c r="G27" s="8">
        <v>3867648</v>
      </c>
      <c r="H27" s="1">
        <v>0</v>
      </c>
      <c r="I27" s="1">
        <v>0</v>
      </c>
      <c r="J27" s="1">
        <v>1933824</v>
      </c>
      <c r="K27" s="1">
        <v>0</v>
      </c>
      <c r="L27" s="1">
        <v>81</v>
      </c>
      <c r="M27" s="1">
        <v>46.514800000000001</v>
      </c>
      <c r="N27" s="14">
        <v>0.57366074372305487</v>
      </c>
    </row>
    <row r="28" spans="1:14" x14ac:dyDescent="0.25">
      <c r="A28" s="7" t="s">
        <v>40</v>
      </c>
      <c r="B28" s="2">
        <v>45.796900000000001</v>
      </c>
      <c r="C28" s="2">
        <v>2.27545E-2</v>
      </c>
      <c r="D28" s="1">
        <v>0</v>
      </c>
      <c r="E28" s="1">
        <v>0</v>
      </c>
      <c r="F28" s="1">
        <v>0</v>
      </c>
      <c r="G28" s="8">
        <v>4031488</v>
      </c>
      <c r="H28" s="1">
        <v>0</v>
      </c>
      <c r="I28" s="1">
        <v>0</v>
      </c>
      <c r="J28" s="1">
        <v>2015744</v>
      </c>
      <c r="K28" s="1">
        <v>0</v>
      </c>
      <c r="L28" s="1">
        <v>82</v>
      </c>
      <c r="M28" s="1">
        <v>44.88597</v>
      </c>
      <c r="N28" s="14">
        <v>0.44264908361163696</v>
      </c>
    </row>
    <row r="29" spans="1:14" x14ac:dyDescent="0.25">
      <c r="A29" s="7" t="s">
        <v>41</v>
      </c>
      <c r="B29" s="2">
        <v>44.5792</v>
      </c>
      <c r="C29" s="2">
        <v>2.35485E-2</v>
      </c>
      <c r="D29" s="1">
        <v>0</v>
      </c>
      <c r="E29" s="1">
        <v>0</v>
      </c>
      <c r="F29" s="1">
        <v>0</v>
      </c>
      <c r="G29" s="8">
        <v>4195328</v>
      </c>
      <c r="H29" s="1">
        <v>0</v>
      </c>
      <c r="I29" s="1">
        <v>0</v>
      </c>
      <c r="J29" s="1">
        <v>2097664</v>
      </c>
      <c r="K29" s="1">
        <v>0</v>
      </c>
      <c r="L29" s="1">
        <v>83</v>
      </c>
      <c r="M29" s="1">
        <v>43.066029999999998</v>
      </c>
      <c r="N29" s="14">
        <v>0.59812553318216166</v>
      </c>
    </row>
    <row r="30" spans="1:14" x14ac:dyDescent="0.25">
      <c r="A30" s="7" t="s">
        <v>42</v>
      </c>
      <c r="B30" s="2">
        <v>43.273600000000002</v>
      </c>
      <c r="C30" s="2">
        <v>2.4558900000000002E-2</v>
      </c>
      <c r="D30" s="1">
        <v>0</v>
      </c>
      <c r="E30" s="1">
        <v>0</v>
      </c>
      <c r="F30" s="1">
        <v>0</v>
      </c>
      <c r="G30" s="8">
        <v>4359168</v>
      </c>
      <c r="H30" s="1">
        <v>0</v>
      </c>
      <c r="I30" s="1">
        <v>0</v>
      </c>
      <c r="J30" s="1">
        <v>2179584</v>
      </c>
      <c r="K30" s="1">
        <v>0</v>
      </c>
      <c r="L30" s="1">
        <v>84</v>
      </c>
      <c r="M30" s="1">
        <v>41.23686</v>
      </c>
      <c r="N30" s="14">
        <v>0.7577940341690631</v>
      </c>
    </row>
    <row r="31" spans="1:14" x14ac:dyDescent="0.25">
      <c r="A31" s="7" t="s">
        <v>43</v>
      </c>
      <c r="B31" s="2">
        <v>41.471200000000003</v>
      </c>
      <c r="C31" s="2">
        <v>2.5381000000000001E-2</v>
      </c>
      <c r="D31" s="1">
        <v>0</v>
      </c>
      <c r="E31" s="1">
        <v>0</v>
      </c>
      <c r="F31" s="1">
        <v>0</v>
      </c>
      <c r="G31" s="8">
        <v>4523008</v>
      </c>
      <c r="H31" s="1">
        <v>0</v>
      </c>
      <c r="I31" s="1">
        <v>0</v>
      </c>
      <c r="J31" s="1">
        <v>2261504</v>
      </c>
      <c r="K31" s="1">
        <v>0</v>
      </c>
      <c r="L31" s="1">
        <v>85</v>
      </c>
      <c r="M31" s="1">
        <v>40.000039999999998</v>
      </c>
      <c r="N31" s="14">
        <v>0.58208060572016718</v>
      </c>
    </row>
    <row r="32" spans="1:14" x14ac:dyDescent="0.25">
      <c r="A32" s="7" t="s">
        <v>44</v>
      </c>
      <c r="B32" s="2">
        <v>40.750799999999998</v>
      </c>
      <c r="C32" s="2">
        <v>2.61132E-2</v>
      </c>
      <c r="D32" s="1">
        <v>0</v>
      </c>
      <c r="E32" s="1">
        <v>0</v>
      </c>
      <c r="F32" s="1">
        <v>0</v>
      </c>
      <c r="G32" s="8">
        <v>4686848</v>
      </c>
      <c r="H32" s="1">
        <v>0</v>
      </c>
      <c r="I32" s="1">
        <v>0</v>
      </c>
      <c r="J32" s="1">
        <v>2343424</v>
      </c>
      <c r="K32" s="1">
        <v>0</v>
      </c>
      <c r="L32" s="1">
        <v>86</v>
      </c>
      <c r="M32" s="1">
        <v>38.717179999999999</v>
      </c>
      <c r="N32" s="14">
        <v>0.73498554906428792</v>
      </c>
    </row>
    <row r="33" spans="1:14" x14ac:dyDescent="0.25">
      <c r="A33" s="7" t="s">
        <v>45</v>
      </c>
      <c r="B33" s="2">
        <v>38.997500000000002</v>
      </c>
      <c r="C33" s="2">
        <v>2.7206999999999999E-2</v>
      </c>
      <c r="D33" s="1">
        <v>0</v>
      </c>
      <c r="E33" s="1">
        <v>0</v>
      </c>
      <c r="F33" s="1">
        <v>0</v>
      </c>
      <c r="G33" s="8">
        <v>4850688</v>
      </c>
      <c r="H33" s="1">
        <v>0</v>
      </c>
      <c r="I33" s="1">
        <v>0</v>
      </c>
      <c r="J33" s="1">
        <v>2425344</v>
      </c>
      <c r="K33" s="1">
        <v>0</v>
      </c>
      <c r="L33" s="1">
        <v>87</v>
      </c>
      <c r="M33" s="1">
        <v>37.337809999999998</v>
      </c>
      <c r="N33" s="14">
        <v>0.6655388100379025</v>
      </c>
    </row>
    <row r="34" spans="1:14" x14ac:dyDescent="0.25">
      <c r="A34" s="7" t="s">
        <v>46</v>
      </c>
      <c r="B34" s="2">
        <v>37.721899999999998</v>
      </c>
      <c r="C34" s="2">
        <v>2.81888E-2</v>
      </c>
      <c r="D34" s="1">
        <v>0</v>
      </c>
      <c r="E34" s="1">
        <v>0</v>
      </c>
      <c r="F34" s="1">
        <v>0</v>
      </c>
      <c r="G34" s="8">
        <v>5014528</v>
      </c>
      <c r="H34" s="1">
        <v>0</v>
      </c>
      <c r="I34" s="1">
        <v>0</v>
      </c>
      <c r="J34" s="1">
        <v>2507264</v>
      </c>
      <c r="K34" s="1">
        <v>0</v>
      </c>
      <c r="L34" s="1">
        <v>88</v>
      </c>
      <c r="M34" s="1">
        <v>36.197870000000002</v>
      </c>
      <c r="N34" s="14">
        <v>0.6405139777293436</v>
      </c>
    </row>
    <row r="35" spans="1:14" x14ac:dyDescent="0.25">
      <c r="A35" s="7" t="s">
        <v>47</v>
      </c>
      <c r="B35" s="2">
        <v>36.502800000000001</v>
      </c>
      <c r="C35" s="2">
        <v>2.9095300000000001E-2</v>
      </c>
      <c r="D35" s="1">
        <v>0</v>
      </c>
      <c r="E35" s="1">
        <v>0</v>
      </c>
      <c r="F35" s="1">
        <v>0</v>
      </c>
      <c r="G35" s="8">
        <v>5178368</v>
      </c>
      <c r="H35" s="1">
        <v>0</v>
      </c>
      <c r="I35" s="1">
        <v>0</v>
      </c>
      <c r="J35" s="1">
        <v>2589184</v>
      </c>
      <c r="K35" s="1">
        <v>0</v>
      </c>
      <c r="L35" s="1">
        <v>89</v>
      </c>
      <c r="M35" s="1">
        <v>34.933759999999999</v>
      </c>
      <c r="N35" s="14">
        <v>0.60811568380439696</v>
      </c>
    </row>
    <row r="36" spans="1:14" x14ac:dyDescent="0.25">
      <c r="A36" s="7" t="s">
        <v>48</v>
      </c>
      <c r="B36" s="2">
        <v>36.004100000000001</v>
      </c>
      <c r="C36" s="2">
        <v>3.0072600000000001E-2</v>
      </c>
      <c r="D36" s="1">
        <v>0</v>
      </c>
      <c r="E36" s="1">
        <v>0</v>
      </c>
      <c r="F36" s="1">
        <v>0</v>
      </c>
      <c r="G36" s="8">
        <v>5342208</v>
      </c>
      <c r="H36" s="1">
        <v>0</v>
      </c>
      <c r="I36" s="1">
        <v>0</v>
      </c>
      <c r="J36" s="1">
        <v>2671104</v>
      </c>
      <c r="K36" s="1">
        <v>0</v>
      </c>
      <c r="L36" s="1">
        <v>90</v>
      </c>
      <c r="M36" s="1">
        <v>33.976849999999999</v>
      </c>
      <c r="N36" s="14">
        <v>0.7731527968145907</v>
      </c>
    </row>
    <row r="37" spans="1:14" x14ac:dyDescent="0.25">
      <c r="A37" s="7" t="s">
        <v>49</v>
      </c>
      <c r="B37" s="2">
        <v>34.8645</v>
      </c>
      <c r="C37" s="2">
        <v>3.11098E-2</v>
      </c>
      <c r="D37" s="1">
        <v>0</v>
      </c>
      <c r="E37" s="1">
        <v>0</v>
      </c>
      <c r="F37" s="1">
        <v>0</v>
      </c>
      <c r="G37" s="8">
        <v>5506048</v>
      </c>
      <c r="H37" s="1">
        <v>0</v>
      </c>
      <c r="I37" s="1">
        <v>0</v>
      </c>
      <c r="J37" s="1">
        <v>2753024</v>
      </c>
      <c r="K37" s="1">
        <v>0</v>
      </c>
      <c r="L37" s="1">
        <v>91</v>
      </c>
      <c r="M37" s="1">
        <v>32.947420000000001</v>
      </c>
      <c r="N37" s="14">
        <v>0.76219766290204127</v>
      </c>
    </row>
    <row r="38" spans="1:14" x14ac:dyDescent="0.25">
      <c r="A38" s="7" t="s">
        <v>50</v>
      </c>
      <c r="B38" s="2">
        <v>33.667400000000001</v>
      </c>
      <c r="C38" s="2">
        <v>3.1973099999999997E-2</v>
      </c>
      <c r="D38" s="1">
        <v>0</v>
      </c>
      <c r="E38" s="1">
        <v>0</v>
      </c>
      <c r="F38" s="1">
        <v>0</v>
      </c>
      <c r="G38" s="8">
        <v>5669888</v>
      </c>
      <c r="H38" s="1">
        <v>0</v>
      </c>
      <c r="I38" s="1">
        <v>0</v>
      </c>
      <c r="J38" s="1">
        <v>2834944</v>
      </c>
      <c r="K38" s="1">
        <v>0</v>
      </c>
      <c r="L38" s="1">
        <v>92</v>
      </c>
      <c r="M38" s="1">
        <v>31.954090000000001</v>
      </c>
      <c r="N38" s="14">
        <v>0.65478174387433208</v>
      </c>
    </row>
    <row r="39" spans="1:14" x14ac:dyDescent="0.25">
      <c r="A39" s="7" t="s">
        <v>51</v>
      </c>
      <c r="B39" s="2">
        <v>33.2057</v>
      </c>
      <c r="C39" s="2">
        <v>3.2868700000000001E-2</v>
      </c>
      <c r="D39" s="1">
        <v>0</v>
      </c>
      <c r="E39" s="1">
        <v>0</v>
      </c>
      <c r="F39" s="1">
        <v>0</v>
      </c>
      <c r="G39" s="8">
        <v>5833728</v>
      </c>
      <c r="H39" s="1">
        <v>0</v>
      </c>
      <c r="I39" s="1">
        <v>0</v>
      </c>
      <c r="J39" s="1">
        <v>2916864</v>
      </c>
      <c r="K39" s="1">
        <v>0</v>
      </c>
      <c r="L39" s="1">
        <v>93</v>
      </c>
      <c r="M39" s="1">
        <v>31.11017</v>
      </c>
      <c r="N39" s="14">
        <v>0.78916630278062749</v>
      </c>
    </row>
    <row r="40" spans="1:14" x14ac:dyDescent="0.25">
      <c r="A40" s="7" t="s">
        <v>52</v>
      </c>
      <c r="B40" s="2">
        <v>32.303100000000001</v>
      </c>
      <c r="C40" s="2">
        <v>3.3830499999999999E-2</v>
      </c>
      <c r="D40" s="1">
        <v>0</v>
      </c>
      <c r="E40" s="1">
        <v>0</v>
      </c>
      <c r="F40" s="1">
        <v>0</v>
      </c>
      <c r="G40" s="8">
        <v>5997568</v>
      </c>
      <c r="H40" s="1">
        <v>0</v>
      </c>
      <c r="I40" s="1">
        <v>0</v>
      </c>
      <c r="J40" s="1">
        <v>2998784</v>
      </c>
      <c r="K40" s="1">
        <v>0</v>
      </c>
      <c r="L40" s="1">
        <v>93</v>
      </c>
      <c r="M40" s="1">
        <v>30.268260000000001</v>
      </c>
      <c r="N40" s="14">
        <v>0.77538567636442157</v>
      </c>
    </row>
    <row r="41" spans="1:14" x14ac:dyDescent="0.25">
      <c r="A41" s="7" t="s">
        <v>53</v>
      </c>
      <c r="B41" s="2">
        <v>31.388500000000001</v>
      </c>
      <c r="C41" s="2">
        <v>3.4882799999999999E-2</v>
      </c>
      <c r="D41" s="1">
        <v>0</v>
      </c>
      <c r="E41" s="1">
        <v>0</v>
      </c>
      <c r="F41" s="1">
        <v>0</v>
      </c>
      <c r="G41" s="8">
        <v>6161408</v>
      </c>
      <c r="H41" s="1">
        <v>0</v>
      </c>
      <c r="I41" s="1">
        <v>0</v>
      </c>
      <c r="J41" s="1">
        <v>3080704</v>
      </c>
      <c r="K41" s="1">
        <v>0</v>
      </c>
      <c r="L41" s="1">
        <v>94</v>
      </c>
      <c r="M41" s="1">
        <v>29.328340000000001</v>
      </c>
      <c r="N41" s="14">
        <v>0.77713307483339056</v>
      </c>
    </row>
    <row r="42" spans="1:14" x14ac:dyDescent="0.25">
      <c r="A42" s="10" t="s">
        <v>54</v>
      </c>
      <c r="B42" s="15">
        <v>19.347799999999999</v>
      </c>
      <c r="C42" s="15">
        <v>5.9091400000000002E-2</v>
      </c>
      <c r="D42" s="16">
        <v>0</v>
      </c>
      <c r="E42" s="16">
        <v>0</v>
      </c>
      <c r="F42" s="16">
        <v>0</v>
      </c>
      <c r="G42" s="11">
        <v>10470400</v>
      </c>
      <c r="H42" s="16">
        <v>0</v>
      </c>
      <c r="I42" s="16">
        <v>0</v>
      </c>
      <c r="J42" s="16">
        <v>5235200</v>
      </c>
      <c r="K42" s="16">
        <v>0</v>
      </c>
      <c r="L42" s="16">
        <v>112</v>
      </c>
      <c r="M42" s="16">
        <v>17.529250000000001</v>
      </c>
      <c r="N42" s="13">
        <v>0.69900449887282168</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1EEBE-6397-47A6-B7B0-881C400560C1}">
  <dimension ref="A1:N42"/>
  <sheetViews>
    <sheetView workbookViewId="0">
      <selection activeCell="G2" sqref="G2:G42"/>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4" x14ac:dyDescent="0.25">
      <c r="A2" s="7" t="s">
        <v>14</v>
      </c>
      <c r="B2" s="1">
        <v>6564.55</v>
      </c>
      <c r="C2" s="1">
        <v>1.8420700000000001E-4</v>
      </c>
      <c r="D2" s="2">
        <v>7.0400000000000004E-6</v>
      </c>
      <c r="E2" s="2">
        <v>7.3919999999999997E-6</v>
      </c>
      <c r="F2" s="1">
        <v>0</v>
      </c>
      <c r="G2" s="8">
        <v>32</v>
      </c>
      <c r="H2" s="1">
        <v>0</v>
      </c>
      <c r="I2" s="1">
        <v>0</v>
      </c>
      <c r="J2" s="1">
        <v>16</v>
      </c>
      <c r="K2" s="1">
        <v>0</v>
      </c>
      <c r="L2" s="1">
        <v>4</v>
      </c>
      <c r="M2" s="1">
        <v>6179.2640000000001</v>
      </c>
      <c r="N2" s="14">
        <v>356.64195806002533</v>
      </c>
    </row>
    <row r="3" spans="1:14" x14ac:dyDescent="0.25">
      <c r="A3" s="7" t="s">
        <v>15</v>
      </c>
      <c r="B3" s="1">
        <v>6230.67</v>
      </c>
      <c r="C3" s="1">
        <v>1.7365100000000001E-4</v>
      </c>
      <c r="D3" s="2">
        <v>1.0592E-5</v>
      </c>
      <c r="E3" s="2">
        <v>7.9999999999999996E-6</v>
      </c>
      <c r="F3" s="1">
        <v>0</v>
      </c>
      <c r="G3" s="8">
        <v>1024</v>
      </c>
      <c r="H3" s="1">
        <v>0</v>
      </c>
      <c r="I3" s="1">
        <v>0</v>
      </c>
      <c r="J3" s="1">
        <v>512</v>
      </c>
      <c r="K3" s="1">
        <v>0</v>
      </c>
      <c r="L3" s="1">
        <v>8</v>
      </c>
      <c r="M3" s="1">
        <v>5972.6850000000004</v>
      </c>
      <c r="N3" s="14">
        <v>156.82621841813727</v>
      </c>
    </row>
    <row r="4" spans="1:14" x14ac:dyDescent="0.25">
      <c r="A4" s="7" t="s">
        <v>16</v>
      </c>
      <c r="B4" s="1">
        <v>1155.82</v>
      </c>
      <c r="C4" s="1">
        <v>9.2358299999999996E-4</v>
      </c>
      <c r="D4" s="2">
        <v>5.8617599999999999E-4</v>
      </c>
      <c r="E4" s="2">
        <v>1.1446399999999999E-4</v>
      </c>
      <c r="F4" s="1">
        <v>0</v>
      </c>
      <c r="G4" s="8">
        <v>148480</v>
      </c>
      <c r="H4" s="1">
        <v>0</v>
      </c>
      <c r="I4" s="1">
        <v>0</v>
      </c>
      <c r="J4" s="1">
        <v>74240</v>
      </c>
      <c r="K4" s="1">
        <v>0</v>
      </c>
      <c r="L4" s="1">
        <v>29</v>
      </c>
      <c r="M4" s="1">
        <v>1146.1320000000001</v>
      </c>
      <c r="N4" s="14">
        <v>22.33529583417242</v>
      </c>
    </row>
    <row r="5" spans="1:14" x14ac:dyDescent="0.25">
      <c r="A5" s="7" t="s">
        <v>17</v>
      </c>
      <c r="B5" s="1">
        <v>523.13499999999999</v>
      </c>
      <c r="C5" s="1">
        <v>2.1292500000000001E-3</v>
      </c>
      <c r="D5" s="2">
        <v>1.67808E-3</v>
      </c>
      <c r="E5" s="2">
        <v>2.7833600000000001E-4</v>
      </c>
      <c r="F5" s="1">
        <v>0</v>
      </c>
      <c r="G5" s="8">
        <v>312320</v>
      </c>
      <c r="H5" s="1">
        <v>0</v>
      </c>
      <c r="I5" s="1">
        <v>0</v>
      </c>
      <c r="J5" s="1">
        <v>156160</v>
      </c>
      <c r="K5" s="1">
        <v>0</v>
      </c>
      <c r="L5" s="1">
        <v>36</v>
      </c>
      <c r="M5" s="1">
        <v>512.92549999999994</v>
      </c>
      <c r="N5" s="14">
        <v>15.96910123575455</v>
      </c>
    </row>
    <row r="6" spans="1:14" x14ac:dyDescent="0.25">
      <c r="A6" s="7" t="s">
        <v>18</v>
      </c>
      <c r="B6" s="1">
        <v>361.37599999999998</v>
      </c>
      <c r="C6" s="1">
        <v>2.8503199999999999E-3</v>
      </c>
      <c r="D6" s="2">
        <v>2.10758E-3</v>
      </c>
      <c r="E6" s="2">
        <v>3.9753599999999998E-4</v>
      </c>
      <c r="F6" s="1">
        <v>0</v>
      </c>
      <c r="G6" s="8">
        <v>459776</v>
      </c>
      <c r="H6" s="1">
        <v>0</v>
      </c>
      <c r="I6" s="1">
        <v>0</v>
      </c>
      <c r="J6" s="1">
        <v>229888</v>
      </c>
      <c r="K6" s="1">
        <v>0</v>
      </c>
      <c r="L6" s="1">
        <v>41</v>
      </c>
      <c r="M6" s="1">
        <v>358.5797</v>
      </c>
      <c r="N6" s="14">
        <v>3.158281848305069</v>
      </c>
    </row>
    <row r="7" spans="1:14" x14ac:dyDescent="0.25">
      <c r="A7" s="7" t="s">
        <v>19</v>
      </c>
      <c r="B7" s="1">
        <v>275.81700000000001</v>
      </c>
      <c r="C7" s="1">
        <v>3.7289200000000002E-3</v>
      </c>
      <c r="D7" s="2">
        <v>2.82643E-3</v>
      </c>
      <c r="E7" s="2">
        <v>5.3929599999999998E-4</v>
      </c>
      <c r="F7" s="1">
        <v>0</v>
      </c>
      <c r="G7" s="8">
        <v>623616</v>
      </c>
      <c r="H7" s="1">
        <v>0</v>
      </c>
      <c r="I7" s="1">
        <v>0</v>
      </c>
      <c r="J7" s="1">
        <v>311808</v>
      </c>
      <c r="K7" s="1">
        <v>0</v>
      </c>
      <c r="L7" s="1">
        <v>45</v>
      </c>
      <c r="M7" s="1">
        <v>273.55029999999999</v>
      </c>
      <c r="N7" s="14">
        <v>2.2601059980059</v>
      </c>
    </row>
    <row r="8" spans="1:14" x14ac:dyDescent="0.25">
      <c r="A8" s="7" t="s">
        <v>20</v>
      </c>
      <c r="B8" s="1">
        <v>219.995</v>
      </c>
      <c r="C8" s="1">
        <v>4.6669499999999996E-3</v>
      </c>
      <c r="D8" s="2">
        <v>3.5473599999999998E-3</v>
      </c>
      <c r="E8" s="2">
        <v>7.5945600000000004E-4</v>
      </c>
      <c r="F8" s="1">
        <v>0</v>
      </c>
      <c r="G8" s="8">
        <v>787456</v>
      </c>
      <c r="H8" s="1">
        <v>0</v>
      </c>
      <c r="I8" s="1">
        <v>0</v>
      </c>
      <c r="J8" s="1">
        <v>393728</v>
      </c>
      <c r="K8" s="1">
        <v>0</v>
      </c>
      <c r="L8" s="1">
        <v>49</v>
      </c>
      <c r="M8" s="1">
        <v>217.91730000000001</v>
      </c>
      <c r="N8" s="14">
        <v>1.5610216063705087</v>
      </c>
    </row>
    <row r="9" spans="1:14" x14ac:dyDescent="0.25">
      <c r="A9" s="7" t="s">
        <v>21</v>
      </c>
      <c r="B9" s="1">
        <v>186.92599999999999</v>
      </c>
      <c r="C9" s="1">
        <v>5.5361200000000003E-3</v>
      </c>
      <c r="D9" s="2">
        <v>4.1940500000000004E-3</v>
      </c>
      <c r="E9" s="2">
        <v>8.8806400000000004E-4</v>
      </c>
      <c r="F9" s="1">
        <v>0</v>
      </c>
      <c r="G9" s="8">
        <v>934912</v>
      </c>
      <c r="H9" s="1">
        <v>0</v>
      </c>
      <c r="I9" s="1">
        <v>0</v>
      </c>
      <c r="J9" s="1">
        <v>467456</v>
      </c>
      <c r="K9" s="1">
        <v>0</v>
      </c>
      <c r="L9" s="1">
        <v>51</v>
      </c>
      <c r="M9" s="1">
        <v>184.7578</v>
      </c>
      <c r="N9" s="14">
        <v>1.9226348124961812</v>
      </c>
    </row>
    <row r="10" spans="1:14" x14ac:dyDescent="0.25">
      <c r="A10" s="7" t="s">
        <v>22</v>
      </c>
      <c r="B10" s="1">
        <v>159.15600000000001</v>
      </c>
      <c r="C10" s="1">
        <v>6.3614500000000003E-3</v>
      </c>
      <c r="D10" s="2">
        <v>5.13453E-3</v>
      </c>
      <c r="E10" s="2">
        <v>1.0371499999999999E-3</v>
      </c>
      <c r="F10" s="1">
        <v>0</v>
      </c>
      <c r="G10" s="8">
        <v>1098752</v>
      </c>
      <c r="H10" s="1">
        <v>0</v>
      </c>
      <c r="I10" s="1">
        <v>0</v>
      </c>
      <c r="J10" s="1">
        <v>549376</v>
      </c>
      <c r="K10" s="1">
        <v>0</v>
      </c>
      <c r="L10" s="1">
        <v>54</v>
      </c>
      <c r="M10" s="1">
        <v>158.17959999999999</v>
      </c>
      <c r="N10" s="14">
        <v>0.66216399445723151</v>
      </c>
    </row>
    <row r="11" spans="1:14" x14ac:dyDescent="0.25">
      <c r="A11" s="7" t="s">
        <v>23</v>
      </c>
      <c r="B11" s="1">
        <v>137.22300000000001</v>
      </c>
      <c r="C11" s="1">
        <v>7.3884299999999997E-3</v>
      </c>
      <c r="D11" s="2">
        <v>6.0981100000000003E-3</v>
      </c>
      <c r="E11" s="2">
        <v>1.40307E-3</v>
      </c>
      <c r="F11" s="1">
        <v>0</v>
      </c>
      <c r="G11" s="8">
        <v>1262592</v>
      </c>
      <c r="H11" s="1">
        <v>0</v>
      </c>
      <c r="I11" s="1">
        <v>0</v>
      </c>
      <c r="J11" s="1">
        <v>631296</v>
      </c>
      <c r="K11" s="1">
        <v>0</v>
      </c>
      <c r="L11" s="1">
        <v>57</v>
      </c>
      <c r="M11" s="1">
        <v>136.5147</v>
      </c>
      <c r="N11" s="14">
        <v>0.68407813881164281</v>
      </c>
    </row>
    <row r="12" spans="1:14" x14ac:dyDescent="0.25">
      <c r="A12" s="7" t="s">
        <v>24</v>
      </c>
      <c r="B12" s="1">
        <v>123.21599999999999</v>
      </c>
      <c r="C12" s="1">
        <v>8.2583899999999991E-3</v>
      </c>
      <c r="D12" s="2">
        <v>6.8598699999999997E-3</v>
      </c>
      <c r="E12" s="2">
        <v>1.3398100000000001E-3</v>
      </c>
      <c r="F12" s="1">
        <v>0</v>
      </c>
      <c r="G12" s="8">
        <v>1426432</v>
      </c>
      <c r="H12" s="1">
        <v>0</v>
      </c>
      <c r="I12" s="1">
        <v>0</v>
      </c>
      <c r="J12" s="1">
        <v>713216</v>
      </c>
      <c r="K12" s="1">
        <v>0</v>
      </c>
      <c r="L12" s="1">
        <v>59</v>
      </c>
      <c r="M12" s="1">
        <v>122.15430000000001</v>
      </c>
      <c r="N12" s="14">
        <v>0.59974032343636496</v>
      </c>
    </row>
    <row r="13" spans="1:14" x14ac:dyDescent="0.25">
      <c r="A13" s="7" t="s">
        <v>25</v>
      </c>
      <c r="B13" s="1">
        <v>110.851</v>
      </c>
      <c r="C13" s="1">
        <v>9.1363599999999996E-3</v>
      </c>
      <c r="D13" s="2">
        <v>7.4312600000000003E-3</v>
      </c>
      <c r="E13" s="2">
        <v>1.4853399999999999E-3</v>
      </c>
      <c r="F13" s="1">
        <v>0</v>
      </c>
      <c r="G13" s="8">
        <v>1590272</v>
      </c>
      <c r="H13" s="1">
        <v>0</v>
      </c>
      <c r="I13" s="1">
        <v>0</v>
      </c>
      <c r="J13" s="1">
        <v>795136</v>
      </c>
      <c r="K13" s="1">
        <v>0</v>
      </c>
      <c r="L13" s="1">
        <v>61</v>
      </c>
      <c r="M13" s="1">
        <v>110.10339999999999</v>
      </c>
      <c r="N13" s="14">
        <v>0.5155769583680011</v>
      </c>
    </row>
    <row r="14" spans="1:14" x14ac:dyDescent="0.25">
      <c r="A14" s="7" t="s">
        <v>26</v>
      </c>
      <c r="B14" s="1">
        <v>101.57899999999999</v>
      </c>
      <c r="C14" s="1">
        <v>1.0055400000000001E-2</v>
      </c>
      <c r="D14" s="2">
        <v>8.2948499999999994E-3</v>
      </c>
      <c r="E14" s="2">
        <v>1.6207699999999999E-3</v>
      </c>
      <c r="F14" s="1">
        <v>0</v>
      </c>
      <c r="G14" s="8">
        <v>1754112</v>
      </c>
      <c r="H14" s="1">
        <v>0</v>
      </c>
      <c r="I14" s="1">
        <v>0</v>
      </c>
      <c r="J14" s="1">
        <v>877056</v>
      </c>
      <c r="K14" s="1">
        <v>0</v>
      </c>
      <c r="L14" s="1">
        <v>63</v>
      </c>
      <c r="M14" s="1">
        <v>100.09098</v>
      </c>
      <c r="N14" s="14">
        <v>0.6224740187349167</v>
      </c>
    </row>
    <row r="15" spans="1:14" x14ac:dyDescent="0.25">
      <c r="A15" s="7" t="s">
        <v>27</v>
      </c>
      <c r="B15" s="1">
        <v>93.807500000000005</v>
      </c>
      <c r="C15" s="1">
        <v>1.0958000000000001E-2</v>
      </c>
      <c r="D15" s="2">
        <v>9.0288599999999997E-3</v>
      </c>
      <c r="E15" s="2">
        <v>1.7714199999999999E-3</v>
      </c>
      <c r="F15" s="1">
        <v>0</v>
      </c>
      <c r="G15" s="8">
        <v>1917952</v>
      </c>
      <c r="H15" s="1">
        <v>0</v>
      </c>
      <c r="I15" s="1">
        <v>0</v>
      </c>
      <c r="J15" s="1">
        <v>958976</v>
      </c>
      <c r="K15" s="1">
        <v>0</v>
      </c>
      <c r="L15" s="1">
        <v>65</v>
      </c>
      <c r="M15" s="1">
        <v>91.955709999999996</v>
      </c>
      <c r="N15" s="14">
        <v>0.75036223022987969</v>
      </c>
    </row>
    <row r="16" spans="1:14" x14ac:dyDescent="0.25">
      <c r="A16" s="7" t="s">
        <v>28</v>
      </c>
      <c r="B16" s="1">
        <v>85.955200000000005</v>
      </c>
      <c r="C16" s="1">
        <v>1.20284E-2</v>
      </c>
      <c r="D16" s="2">
        <v>9.7410199999999995E-3</v>
      </c>
      <c r="E16" s="2">
        <v>2.3693099999999999E-3</v>
      </c>
      <c r="F16" s="1">
        <v>0</v>
      </c>
      <c r="G16" s="8">
        <v>2081792</v>
      </c>
      <c r="H16" s="1">
        <v>0</v>
      </c>
      <c r="I16" s="1">
        <v>0</v>
      </c>
      <c r="J16" s="1">
        <v>1040896</v>
      </c>
      <c r="K16" s="1">
        <v>0</v>
      </c>
      <c r="L16" s="1">
        <v>66</v>
      </c>
      <c r="M16" s="1">
        <v>84.103809999999996</v>
      </c>
      <c r="N16" s="14">
        <v>0.77381080870369667</v>
      </c>
    </row>
    <row r="17" spans="1:14" x14ac:dyDescent="0.25">
      <c r="A17" s="7" t="s">
        <v>29</v>
      </c>
      <c r="B17" s="1">
        <v>80.975099999999998</v>
      </c>
      <c r="C17" s="1">
        <v>1.27688E-2</v>
      </c>
      <c r="D17" s="2">
        <v>1.04563E-2</v>
      </c>
      <c r="E17" s="2">
        <v>2.25472E-3</v>
      </c>
      <c r="F17" s="1">
        <v>0</v>
      </c>
      <c r="G17" s="8">
        <v>2245632</v>
      </c>
      <c r="H17" s="1">
        <v>0</v>
      </c>
      <c r="I17" s="1">
        <v>0</v>
      </c>
      <c r="J17" s="1">
        <v>1122816</v>
      </c>
      <c r="K17" s="1">
        <v>0</v>
      </c>
      <c r="L17" s="1">
        <v>68</v>
      </c>
      <c r="M17" s="1">
        <v>78.999709999999993</v>
      </c>
      <c r="N17" s="14">
        <v>0.73127351388595307</v>
      </c>
    </row>
    <row r="18" spans="1:14" x14ac:dyDescent="0.25">
      <c r="A18" s="7" t="s">
        <v>30</v>
      </c>
      <c r="B18" s="1">
        <v>76.105900000000005</v>
      </c>
      <c r="C18" s="1">
        <v>1.37018E-2</v>
      </c>
      <c r="D18" s="2">
        <v>1.1028700000000001E-2</v>
      </c>
      <c r="E18" s="2">
        <v>2.1896300000000001E-3</v>
      </c>
      <c r="F18" s="1">
        <v>0</v>
      </c>
      <c r="G18" s="8">
        <v>2409472</v>
      </c>
      <c r="H18" s="1">
        <v>0</v>
      </c>
      <c r="I18" s="1">
        <v>0</v>
      </c>
      <c r="J18" s="1">
        <v>1204736</v>
      </c>
      <c r="K18" s="1">
        <v>0</v>
      </c>
      <c r="L18" s="1">
        <v>70</v>
      </c>
      <c r="M18" s="1">
        <v>73.787480000000002</v>
      </c>
      <c r="N18" s="14">
        <v>0.86878496866473254</v>
      </c>
    </row>
    <row r="19" spans="1:14" x14ac:dyDescent="0.25">
      <c r="A19" s="7" t="s">
        <v>31</v>
      </c>
      <c r="B19" s="1">
        <v>71.025300000000001</v>
      </c>
      <c r="C19" s="1">
        <v>1.46315E-2</v>
      </c>
      <c r="D19" s="2">
        <v>1.19145E-2</v>
      </c>
      <c r="E19" s="2">
        <v>2.6899200000000002E-3</v>
      </c>
      <c r="F19" s="1">
        <v>0</v>
      </c>
      <c r="G19" s="8">
        <v>2573312</v>
      </c>
      <c r="H19" s="1">
        <v>0</v>
      </c>
      <c r="I19" s="1">
        <v>0</v>
      </c>
      <c r="J19" s="1">
        <v>1286656</v>
      </c>
      <c r="K19" s="1">
        <v>0</v>
      </c>
      <c r="L19" s="1">
        <v>71</v>
      </c>
      <c r="M19" s="1">
        <v>69.17034000000001</v>
      </c>
      <c r="N19" s="14">
        <v>0.75120704972434582</v>
      </c>
    </row>
    <row r="20" spans="1:14" x14ac:dyDescent="0.25">
      <c r="A20" s="7" t="s">
        <v>32</v>
      </c>
      <c r="B20" s="1">
        <v>67.055099999999996</v>
      </c>
      <c r="C20" s="1">
        <v>1.5540200000000001E-2</v>
      </c>
      <c r="D20" s="2">
        <v>1.26383E-2</v>
      </c>
      <c r="E20" s="2">
        <v>2.7882200000000001E-3</v>
      </c>
      <c r="F20" s="1">
        <v>0</v>
      </c>
      <c r="G20" s="8">
        <v>2737152</v>
      </c>
      <c r="H20" s="1">
        <v>0</v>
      </c>
      <c r="I20" s="1">
        <v>0</v>
      </c>
      <c r="J20" s="1">
        <v>1368576</v>
      </c>
      <c r="K20" s="1">
        <v>0</v>
      </c>
      <c r="L20" s="1">
        <v>72</v>
      </c>
      <c r="M20" s="1">
        <v>65.003609999999995</v>
      </c>
      <c r="N20" s="14">
        <v>0.78387498783642318</v>
      </c>
    </row>
    <row r="21" spans="1:14" x14ac:dyDescent="0.25">
      <c r="A21" s="7" t="s">
        <v>33</v>
      </c>
      <c r="B21" s="1">
        <v>63.0899</v>
      </c>
      <c r="C21" s="1">
        <v>1.6569E-2</v>
      </c>
      <c r="D21" s="2">
        <v>1.3343600000000001E-2</v>
      </c>
      <c r="E21" s="2">
        <v>2.8628199999999999E-3</v>
      </c>
      <c r="F21" s="1">
        <v>0</v>
      </c>
      <c r="G21" s="8">
        <v>2900992</v>
      </c>
      <c r="H21" s="1">
        <v>0</v>
      </c>
      <c r="I21" s="1">
        <v>0</v>
      </c>
      <c r="J21" s="1">
        <v>1450496</v>
      </c>
      <c r="K21" s="1">
        <v>0</v>
      </c>
      <c r="L21" s="1">
        <v>74</v>
      </c>
      <c r="M21" s="1">
        <v>61.160530000000001</v>
      </c>
      <c r="N21" s="14">
        <v>0.75994696605896273</v>
      </c>
    </row>
    <row r="22" spans="1:14" x14ac:dyDescent="0.25">
      <c r="A22" s="7" t="s">
        <v>34</v>
      </c>
      <c r="B22" s="1">
        <v>60.261000000000003</v>
      </c>
      <c r="C22" s="1">
        <v>1.728E-2</v>
      </c>
      <c r="D22" s="2">
        <v>1.39052E-2</v>
      </c>
      <c r="E22" s="2">
        <v>2.9476799999999998E-3</v>
      </c>
      <c r="F22" s="1">
        <v>0</v>
      </c>
      <c r="G22" s="8">
        <v>3064832</v>
      </c>
      <c r="H22" s="1">
        <v>0</v>
      </c>
      <c r="I22" s="1">
        <v>0</v>
      </c>
      <c r="J22" s="1">
        <v>1532416</v>
      </c>
      <c r="K22" s="1">
        <v>0</v>
      </c>
      <c r="L22" s="1">
        <v>75</v>
      </c>
      <c r="M22" s="1">
        <v>58.531930000000003</v>
      </c>
      <c r="N22" s="14">
        <v>0.68791388842564472</v>
      </c>
    </row>
    <row r="23" spans="1:14" x14ac:dyDescent="0.25">
      <c r="A23" s="7" t="s">
        <v>35</v>
      </c>
      <c r="B23" s="1">
        <v>57.5349</v>
      </c>
      <c r="C23" s="1">
        <v>1.82247E-2</v>
      </c>
      <c r="D23" s="2">
        <v>1.4770999999999999E-2</v>
      </c>
      <c r="E23" s="2">
        <v>3.1390099999999998E-3</v>
      </c>
      <c r="F23" s="1">
        <v>0</v>
      </c>
      <c r="G23" s="8">
        <v>3228672</v>
      </c>
      <c r="H23" s="1">
        <v>0</v>
      </c>
      <c r="I23" s="1">
        <v>0</v>
      </c>
      <c r="J23" s="1">
        <v>1614336</v>
      </c>
      <c r="K23" s="1">
        <v>0</v>
      </c>
      <c r="L23" s="1">
        <v>76</v>
      </c>
      <c r="M23" s="1">
        <v>55.609180000000002</v>
      </c>
      <c r="N23" s="14">
        <v>0.81829073860632784</v>
      </c>
    </row>
    <row r="24" spans="1:14" x14ac:dyDescent="0.25">
      <c r="A24" s="7" t="s">
        <v>36</v>
      </c>
      <c r="B24" s="1">
        <v>54.920299999999997</v>
      </c>
      <c r="C24" s="1">
        <v>1.91659E-2</v>
      </c>
      <c r="D24" s="2">
        <v>1.54929E-2</v>
      </c>
      <c r="E24" s="2">
        <v>3.3230099999999999E-3</v>
      </c>
      <c r="F24" s="1">
        <v>0</v>
      </c>
      <c r="G24" s="8">
        <v>3392512</v>
      </c>
      <c r="H24" s="1">
        <v>0</v>
      </c>
      <c r="I24" s="1">
        <v>0</v>
      </c>
      <c r="J24" s="1">
        <v>1696256</v>
      </c>
      <c r="K24" s="1">
        <v>0</v>
      </c>
      <c r="L24" s="1">
        <v>78</v>
      </c>
      <c r="M24" s="1">
        <v>52.826920000000001</v>
      </c>
      <c r="N24" s="14">
        <v>0.80501066908043628</v>
      </c>
    </row>
    <row r="25" spans="1:14" x14ac:dyDescent="0.25">
      <c r="A25" s="7" t="s">
        <v>37</v>
      </c>
      <c r="B25" s="1">
        <v>52.7879</v>
      </c>
      <c r="C25" s="1">
        <v>1.9966999999999999E-2</v>
      </c>
      <c r="D25" s="2">
        <v>1.61929E-2</v>
      </c>
      <c r="E25" s="2">
        <v>3.7583400000000002E-3</v>
      </c>
      <c r="F25" s="1">
        <v>0</v>
      </c>
      <c r="G25" s="8">
        <v>3539968</v>
      </c>
      <c r="H25" s="1">
        <v>0</v>
      </c>
      <c r="I25" s="1">
        <v>0</v>
      </c>
      <c r="J25" s="1">
        <v>1769984</v>
      </c>
      <c r="K25" s="1">
        <v>0</v>
      </c>
      <c r="L25" s="1">
        <v>79</v>
      </c>
      <c r="M25" s="1">
        <v>50.844670000000001</v>
      </c>
      <c r="N25" s="14">
        <v>0.77414591511477215</v>
      </c>
    </row>
    <row r="26" spans="1:14" x14ac:dyDescent="0.25">
      <c r="A26" s="7" t="s">
        <v>38</v>
      </c>
      <c r="B26" s="1">
        <v>50.127699999999997</v>
      </c>
      <c r="C26" s="1">
        <v>2.0912900000000002E-2</v>
      </c>
      <c r="D26" s="2">
        <v>1.6877199999999998E-2</v>
      </c>
      <c r="E26" s="2">
        <v>3.5111399999999998E-3</v>
      </c>
      <c r="F26" s="1">
        <v>0</v>
      </c>
      <c r="G26" s="8">
        <v>3703808</v>
      </c>
      <c r="H26" s="1">
        <v>0</v>
      </c>
      <c r="I26" s="1">
        <v>0</v>
      </c>
      <c r="J26" s="1">
        <v>1851904</v>
      </c>
      <c r="K26" s="1">
        <v>0</v>
      </c>
      <c r="L26" s="1">
        <v>80</v>
      </c>
      <c r="M26" s="1">
        <v>48.496830000000003</v>
      </c>
      <c r="N26" s="14">
        <v>0.7046999362218711</v>
      </c>
    </row>
    <row r="27" spans="1:14" x14ac:dyDescent="0.25">
      <c r="A27" s="7" t="s">
        <v>39</v>
      </c>
      <c r="B27" s="1">
        <v>48.691299999999998</v>
      </c>
      <c r="C27" s="1">
        <v>2.14407E-2</v>
      </c>
      <c r="D27" s="2">
        <v>1.7589199999999999E-2</v>
      </c>
      <c r="E27" s="2">
        <v>3.4508199999999998E-3</v>
      </c>
      <c r="F27" s="1">
        <v>0</v>
      </c>
      <c r="G27" s="8">
        <v>3867648</v>
      </c>
      <c r="H27" s="1">
        <v>0</v>
      </c>
      <c r="I27" s="1">
        <v>0</v>
      </c>
      <c r="J27" s="1">
        <v>1933824</v>
      </c>
      <c r="K27" s="1">
        <v>0</v>
      </c>
      <c r="L27" s="1">
        <v>81</v>
      </c>
      <c r="M27" s="1">
        <v>46.904350000000001</v>
      </c>
      <c r="N27" s="14">
        <v>0.62939315614327995</v>
      </c>
    </row>
    <row r="28" spans="1:14" x14ac:dyDescent="0.25">
      <c r="A28" s="7" t="s">
        <v>40</v>
      </c>
      <c r="B28" s="1">
        <v>46.8429</v>
      </c>
      <c r="C28" s="1">
        <v>2.2548800000000001E-2</v>
      </c>
      <c r="D28" s="2">
        <v>1.8312499999999999E-2</v>
      </c>
      <c r="E28" s="2">
        <v>3.8536600000000001E-3</v>
      </c>
      <c r="F28" s="1">
        <v>0</v>
      </c>
      <c r="G28" s="8">
        <v>4031488</v>
      </c>
      <c r="H28" s="1">
        <v>0</v>
      </c>
      <c r="I28" s="1">
        <v>0</v>
      </c>
      <c r="J28" s="1">
        <v>2015744</v>
      </c>
      <c r="K28" s="1">
        <v>0</v>
      </c>
      <c r="L28" s="1">
        <v>82</v>
      </c>
      <c r="M28" s="1">
        <v>44.851889999999997</v>
      </c>
      <c r="N28" s="14">
        <v>0.76149799365023496</v>
      </c>
    </row>
    <row r="29" spans="1:14" x14ac:dyDescent="0.25">
      <c r="A29" s="7" t="s">
        <v>41</v>
      </c>
      <c r="B29" s="1">
        <v>45.0259</v>
      </c>
      <c r="C29" s="1">
        <v>2.3550700000000001E-2</v>
      </c>
      <c r="D29" s="2">
        <v>1.90204E-2</v>
      </c>
      <c r="E29" s="2">
        <v>3.9102700000000004E-3</v>
      </c>
      <c r="F29" s="1">
        <v>0</v>
      </c>
      <c r="G29" s="8">
        <v>4195328</v>
      </c>
      <c r="H29" s="1">
        <v>0</v>
      </c>
      <c r="I29" s="1">
        <v>0</v>
      </c>
      <c r="J29" s="1">
        <v>2097664</v>
      </c>
      <c r="K29" s="1">
        <v>0</v>
      </c>
      <c r="L29" s="1">
        <v>83</v>
      </c>
      <c r="M29" s="1">
        <v>43.047089999999997</v>
      </c>
      <c r="N29" s="14">
        <v>0.75436035958360825</v>
      </c>
    </row>
    <row r="30" spans="1:14" x14ac:dyDescent="0.25">
      <c r="A30" s="7" t="s">
        <v>42</v>
      </c>
      <c r="B30" s="1">
        <v>43.354500000000002</v>
      </c>
      <c r="C30" s="1">
        <v>2.45802E-2</v>
      </c>
      <c r="D30" s="2">
        <v>1.9908700000000001E-2</v>
      </c>
      <c r="E30" s="2">
        <v>4.0512600000000001E-3</v>
      </c>
      <c r="F30" s="1">
        <v>0</v>
      </c>
      <c r="G30" s="8">
        <v>4359168</v>
      </c>
      <c r="H30" s="1">
        <v>0</v>
      </c>
      <c r="I30" s="1">
        <v>0</v>
      </c>
      <c r="J30" s="1">
        <v>2179584</v>
      </c>
      <c r="K30" s="1">
        <v>0</v>
      </c>
      <c r="L30" s="1">
        <v>84</v>
      </c>
      <c r="M30" s="1">
        <v>41.411360000000002</v>
      </c>
      <c r="N30" s="14">
        <v>0.73652543623572364</v>
      </c>
    </row>
    <row r="31" spans="1:14" x14ac:dyDescent="0.25">
      <c r="A31" s="7" t="s">
        <v>43</v>
      </c>
      <c r="B31" s="1">
        <v>42.009599999999999</v>
      </c>
      <c r="C31" s="1">
        <v>2.5331200000000002E-2</v>
      </c>
      <c r="D31" s="2">
        <v>2.0549899999999999E-2</v>
      </c>
      <c r="E31" s="2">
        <v>4.20989E-3</v>
      </c>
      <c r="F31" s="1">
        <v>0</v>
      </c>
      <c r="G31" s="8">
        <v>4523008</v>
      </c>
      <c r="H31" s="1">
        <v>0</v>
      </c>
      <c r="I31" s="1">
        <v>0</v>
      </c>
      <c r="J31" s="1">
        <v>2261504</v>
      </c>
      <c r="K31" s="1">
        <v>0</v>
      </c>
      <c r="L31" s="1">
        <v>85</v>
      </c>
      <c r="M31" s="1">
        <v>40.105539999999998</v>
      </c>
      <c r="N31" s="14">
        <v>0.73212206359322318</v>
      </c>
    </row>
    <row r="32" spans="1:14" x14ac:dyDescent="0.25">
      <c r="A32" s="7" t="s">
        <v>44</v>
      </c>
      <c r="B32" s="1">
        <v>39.825699999999998</v>
      </c>
      <c r="C32" s="1">
        <v>2.63165E-2</v>
      </c>
      <c r="D32" s="2">
        <v>2.1178599999999999E-2</v>
      </c>
      <c r="E32" s="2">
        <v>4.4785600000000004E-3</v>
      </c>
      <c r="F32" s="1">
        <v>0</v>
      </c>
      <c r="G32" s="8">
        <v>4686848</v>
      </c>
      <c r="H32" s="1">
        <v>0</v>
      </c>
      <c r="I32" s="1">
        <v>0</v>
      </c>
      <c r="J32" s="1">
        <v>2343424</v>
      </c>
      <c r="K32" s="1">
        <v>0</v>
      </c>
      <c r="L32" s="1">
        <v>86</v>
      </c>
      <c r="M32" s="1">
        <v>38.670569999999998</v>
      </c>
      <c r="N32" s="14">
        <v>0.49935466810229578</v>
      </c>
    </row>
    <row r="33" spans="1:14" x14ac:dyDescent="0.25">
      <c r="A33" s="7" t="s">
        <v>45</v>
      </c>
      <c r="B33" s="1">
        <v>39.015099999999997</v>
      </c>
      <c r="C33" s="1">
        <v>2.7226799999999999E-2</v>
      </c>
      <c r="D33" s="2">
        <v>2.1900300000000001E-2</v>
      </c>
      <c r="E33" s="2">
        <v>4.4457300000000002E-3</v>
      </c>
      <c r="F33" s="1">
        <v>0</v>
      </c>
      <c r="G33" s="8">
        <v>4850688</v>
      </c>
      <c r="H33" s="1">
        <v>0</v>
      </c>
      <c r="I33" s="1">
        <v>0</v>
      </c>
      <c r="J33" s="1">
        <v>2425344</v>
      </c>
      <c r="K33" s="1">
        <v>0</v>
      </c>
      <c r="L33" s="1">
        <v>87</v>
      </c>
      <c r="M33" s="1">
        <v>37.372929999999997</v>
      </c>
      <c r="N33" s="14">
        <v>0.66725932997931481</v>
      </c>
    </row>
    <row r="34" spans="1:14" x14ac:dyDescent="0.25">
      <c r="A34" s="7" t="s">
        <v>46</v>
      </c>
      <c r="B34" s="1">
        <v>37.931699999999999</v>
      </c>
      <c r="C34" s="1">
        <v>2.8050100000000001E-2</v>
      </c>
      <c r="D34" s="2">
        <v>2.2609500000000001E-2</v>
      </c>
      <c r="E34" s="2">
        <v>4.6019199999999998E-3</v>
      </c>
      <c r="F34" s="1">
        <v>0</v>
      </c>
      <c r="G34" s="8">
        <v>5014528</v>
      </c>
      <c r="H34" s="1">
        <v>0</v>
      </c>
      <c r="I34" s="1">
        <v>0</v>
      </c>
      <c r="J34" s="1">
        <v>2507264</v>
      </c>
      <c r="K34" s="1">
        <v>0</v>
      </c>
      <c r="L34" s="1">
        <v>88</v>
      </c>
      <c r="M34" s="1">
        <v>36.269359999999999</v>
      </c>
      <c r="N34" s="14">
        <v>0.65939006698951963</v>
      </c>
    </row>
    <row r="35" spans="1:14" x14ac:dyDescent="0.25">
      <c r="A35" s="7" t="s">
        <v>47</v>
      </c>
      <c r="B35" s="1">
        <v>36.968200000000003</v>
      </c>
      <c r="C35" s="1">
        <v>2.9069899999999999E-2</v>
      </c>
      <c r="D35" s="2">
        <v>2.3337799999999999E-2</v>
      </c>
      <c r="E35" s="2">
        <v>4.5974700000000002E-3</v>
      </c>
      <c r="F35" s="1">
        <v>0</v>
      </c>
      <c r="G35" s="8">
        <v>5178368</v>
      </c>
      <c r="H35" s="1">
        <v>0</v>
      </c>
      <c r="I35" s="1">
        <v>0</v>
      </c>
      <c r="J35" s="1">
        <v>2589184</v>
      </c>
      <c r="K35" s="1">
        <v>0</v>
      </c>
      <c r="L35" s="1">
        <v>89</v>
      </c>
      <c r="M35" s="1">
        <v>35.064779999999999</v>
      </c>
      <c r="N35" s="14">
        <v>0.73723767131095641</v>
      </c>
    </row>
    <row r="36" spans="1:14" x14ac:dyDescent="0.25">
      <c r="A36" s="7" t="s">
        <v>48</v>
      </c>
      <c r="B36" s="1">
        <v>35.968200000000003</v>
      </c>
      <c r="C36" s="1">
        <v>2.9911799999999999E-2</v>
      </c>
      <c r="D36" s="2">
        <v>2.4102800000000001E-2</v>
      </c>
      <c r="E36" s="2">
        <v>4.6848599999999999E-3</v>
      </c>
      <c r="F36" s="1">
        <v>0</v>
      </c>
      <c r="G36" s="8">
        <v>5342208</v>
      </c>
      <c r="H36" s="1">
        <v>0</v>
      </c>
      <c r="I36" s="1">
        <v>0</v>
      </c>
      <c r="J36" s="1">
        <v>2671104</v>
      </c>
      <c r="K36" s="1">
        <v>0</v>
      </c>
      <c r="L36" s="1">
        <v>90</v>
      </c>
      <c r="M36" s="1">
        <v>34.072719999999997</v>
      </c>
      <c r="N36" s="14">
        <v>0.72521762220422969</v>
      </c>
    </row>
    <row r="37" spans="1:14" x14ac:dyDescent="0.25">
      <c r="A37" s="7" t="s">
        <v>49</v>
      </c>
      <c r="B37" s="1">
        <v>34.390599999999999</v>
      </c>
      <c r="C37" s="1">
        <v>3.0980799999999999E-2</v>
      </c>
      <c r="D37" s="2">
        <v>2.4776099999999999E-2</v>
      </c>
      <c r="E37" s="2">
        <v>4.8039700000000003E-3</v>
      </c>
      <c r="F37" s="1">
        <v>0</v>
      </c>
      <c r="G37" s="8">
        <v>5506048</v>
      </c>
      <c r="H37" s="1">
        <v>0</v>
      </c>
      <c r="I37" s="1">
        <v>0</v>
      </c>
      <c r="J37" s="1">
        <v>2753024</v>
      </c>
      <c r="K37" s="1">
        <v>0</v>
      </c>
      <c r="L37" s="1">
        <v>91</v>
      </c>
      <c r="M37" s="1">
        <v>32.854770000000002</v>
      </c>
      <c r="N37" s="14">
        <v>0.60586245789691295</v>
      </c>
    </row>
    <row r="38" spans="1:14" x14ac:dyDescent="0.25">
      <c r="A38" s="7" t="s">
        <v>50</v>
      </c>
      <c r="B38" s="1">
        <v>33.953200000000002</v>
      </c>
      <c r="C38" s="1">
        <v>3.1837699999999997E-2</v>
      </c>
      <c r="D38" s="2">
        <v>2.5489899999999999E-2</v>
      </c>
      <c r="E38" s="2">
        <v>5.01229E-3</v>
      </c>
      <c r="F38" s="1">
        <v>0</v>
      </c>
      <c r="G38" s="8">
        <v>5669888</v>
      </c>
      <c r="H38" s="1">
        <v>0</v>
      </c>
      <c r="I38" s="1">
        <v>0</v>
      </c>
      <c r="J38" s="1">
        <v>2834944</v>
      </c>
      <c r="K38" s="1">
        <v>0</v>
      </c>
      <c r="L38" s="1">
        <v>92</v>
      </c>
      <c r="M38" s="1">
        <v>32.113509999999998</v>
      </c>
      <c r="N38" s="14">
        <v>0.71805680129700722</v>
      </c>
    </row>
    <row r="39" spans="1:14" x14ac:dyDescent="0.25">
      <c r="A39" s="7" t="s">
        <v>51</v>
      </c>
      <c r="B39" s="1">
        <v>33.100200000000001</v>
      </c>
      <c r="C39" s="1">
        <v>3.2645899999999999E-2</v>
      </c>
      <c r="D39" s="2">
        <v>2.6428199999999999E-2</v>
      </c>
      <c r="E39" s="2">
        <v>5.60787E-3</v>
      </c>
      <c r="F39" s="1">
        <v>0</v>
      </c>
      <c r="G39" s="8">
        <v>5833728</v>
      </c>
      <c r="H39" s="1">
        <v>0</v>
      </c>
      <c r="I39" s="1">
        <v>0</v>
      </c>
      <c r="J39" s="1">
        <v>2916864</v>
      </c>
      <c r="K39" s="1">
        <v>0</v>
      </c>
      <c r="L39" s="1">
        <v>93</v>
      </c>
      <c r="M39" s="1">
        <v>31.172499999999999</v>
      </c>
      <c r="N39" s="14">
        <v>0.71878639540702405</v>
      </c>
    </row>
    <row r="40" spans="1:14" x14ac:dyDescent="0.25">
      <c r="A40" s="7" t="s">
        <v>52</v>
      </c>
      <c r="B40" s="1">
        <v>32.253700000000002</v>
      </c>
      <c r="C40" s="1">
        <v>3.3610399999999999E-2</v>
      </c>
      <c r="D40" s="2">
        <v>2.72651E-2</v>
      </c>
      <c r="E40" s="2">
        <v>5.4065299999999997E-3</v>
      </c>
      <c r="F40" s="1">
        <v>0</v>
      </c>
      <c r="G40" s="8">
        <v>5997568</v>
      </c>
      <c r="H40" s="1">
        <v>0</v>
      </c>
      <c r="I40" s="1">
        <v>0</v>
      </c>
      <c r="J40" s="1">
        <v>2998784</v>
      </c>
      <c r="K40" s="1">
        <v>0</v>
      </c>
      <c r="L40" s="1">
        <v>93</v>
      </c>
      <c r="M40" s="1">
        <v>30.395050000000001</v>
      </c>
      <c r="N40" s="14">
        <v>0.70908890878052533</v>
      </c>
    </row>
    <row r="41" spans="1:14" x14ac:dyDescent="0.25">
      <c r="A41" s="7" t="s">
        <v>53</v>
      </c>
      <c r="B41" s="1">
        <v>31.516300000000001</v>
      </c>
      <c r="C41" s="1">
        <v>3.4510800000000001E-2</v>
      </c>
      <c r="D41" s="2">
        <v>2.78576E-2</v>
      </c>
      <c r="E41" s="2">
        <v>5.7368599999999999E-3</v>
      </c>
      <c r="F41" s="1">
        <v>0</v>
      </c>
      <c r="G41" s="8">
        <v>6161408</v>
      </c>
      <c r="H41" s="1">
        <v>0</v>
      </c>
      <c r="I41" s="1">
        <v>0</v>
      </c>
      <c r="J41" s="1">
        <v>3080704</v>
      </c>
      <c r="K41" s="1">
        <v>0</v>
      </c>
      <c r="L41" s="1">
        <v>94</v>
      </c>
      <c r="M41" s="1">
        <v>29.587119999999999</v>
      </c>
      <c r="N41" s="14">
        <v>0.73994941538819625</v>
      </c>
    </row>
    <row r="42" spans="1:14" x14ac:dyDescent="0.25">
      <c r="A42" s="10" t="s">
        <v>54</v>
      </c>
      <c r="B42" s="16">
        <v>19.301200000000001</v>
      </c>
      <c r="C42" s="16">
        <v>5.92793E-2</v>
      </c>
      <c r="D42" s="15">
        <v>4.6825499999999999E-2</v>
      </c>
      <c r="E42" s="15">
        <v>9.4045099999999996E-3</v>
      </c>
      <c r="F42" s="16">
        <v>0</v>
      </c>
      <c r="G42" s="11">
        <v>10470400</v>
      </c>
      <c r="H42" s="16">
        <v>0</v>
      </c>
      <c r="I42" s="16">
        <v>0</v>
      </c>
      <c r="J42" s="16">
        <v>5235200</v>
      </c>
      <c r="K42" s="16">
        <v>0</v>
      </c>
      <c r="L42" s="16">
        <v>112</v>
      </c>
      <c r="M42" s="16">
        <v>17.4925</v>
      </c>
      <c r="N42" s="13">
        <v>0.69371343907665228</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CA0A-D3F2-471C-9B79-070D27A08DB3}">
  <dimension ref="A1"/>
  <sheetViews>
    <sheetView zoomScale="115" zoomScaleNormal="115" workbookViewId="0">
      <selection activeCell="AB25" sqref="AB25"/>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ADC4-65D2-43BD-8693-17F29993DE00}">
  <dimension ref="A1"/>
  <sheetViews>
    <sheetView topLeftCell="A4" zoomScale="115" zoomScaleNormal="115" workbookViewId="0">
      <selection activeCell="M43" sqref="M43"/>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8966C-B3D4-467B-B1AF-E7AAFB11BF53}">
  <dimension ref="A1"/>
  <sheetViews>
    <sheetView topLeftCell="A16" zoomScale="115" zoomScaleNormal="115" workbookViewId="0">
      <selection activeCell="S17" sqref="S17"/>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E67B8-E78A-4DDB-833E-E455CE70C0DD}">
  <dimension ref="A1"/>
  <sheetViews>
    <sheetView workbookViewId="0">
      <selection activeCell="D34" sqref="D3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5255-2828-4E7D-929E-BC4112D0AFFF}">
  <dimension ref="A1:N43"/>
  <sheetViews>
    <sheetView workbookViewId="0">
      <selection activeCell="H31" sqref="H31"/>
    </sheetView>
  </sheetViews>
  <sheetFormatPr defaultRowHeight="15" x14ac:dyDescent="0.25"/>
  <cols>
    <col min="1" max="1" width="39.85546875" bestFit="1" customWidth="1"/>
    <col min="2" max="2" width="8" bestFit="1" customWidth="1"/>
    <col min="3" max="5" width="12"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3" width="10" bestFit="1" customWidth="1"/>
    <col min="14" max="14" width="12" bestFit="1" customWidth="1"/>
  </cols>
  <sheetData>
    <row r="1" spans="1:14" x14ac:dyDescent="0.25">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25">
      <c r="A2" s="1" t="s">
        <v>14</v>
      </c>
      <c r="B2" s="1">
        <v>5723.88</v>
      </c>
      <c r="C2" s="1">
        <v>1.9923200000000001E-4</v>
      </c>
      <c r="D2" s="2">
        <v>8.0320000000000003E-6</v>
      </c>
      <c r="E2" s="2">
        <v>9.0240000000000003E-6</v>
      </c>
      <c r="F2" s="1">
        <v>0</v>
      </c>
      <c r="G2" s="3">
        <v>32</v>
      </c>
      <c r="H2" s="1">
        <v>0</v>
      </c>
      <c r="I2" s="1">
        <v>0</v>
      </c>
      <c r="J2" s="1">
        <v>16</v>
      </c>
      <c r="K2" s="1">
        <v>0</v>
      </c>
      <c r="L2" s="1">
        <v>4</v>
      </c>
      <c r="M2" s="1">
        <v>5349.87</v>
      </c>
      <c r="N2" s="1">
        <v>296.15234187829742</v>
      </c>
    </row>
    <row r="3" spans="1:14" x14ac:dyDescent="0.25">
      <c r="A3" s="1" t="s">
        <v>15</v>
      </c>
      <c r="B3" s="1">
        <v>5751.54</v>
      </c>
      <c r="C3" s="1">
        <v>1.85291E-4</v>
      </c>
      <c r="D3" s="2">
        <v>1.1263999999999999E-5</v>
      </c>
      <c r="E3" s="2">
        <v>9.2799999999999992E-6</v>
      </c>
      <c r="F3" s="1">
        <v>0</v>
      </c>
      <c r="G3" s="3">
        <v>1024</v>
      </c>
      <c r="H3" s="1">
        <v>0</v>
      </c>
      <c r="I3" s="1">
        <v>0</v>
      </c>
      <c r="J3" s="1">
        <v>512</v>
      </c>
      <c r="K3" s="1">
        <v>0</v>
      </c>
      <c r="L3" s="1">
        <v>8</v>
      </c>
      <c r="M3" s="1">
        <v>5532.3789999999999</v>
      </c>
      <c r="N3" s="1">
        <v>142.27322582895829</v>
      </c>
    </row>
    <row r="4" spans="1:14" x14ac:dyDescent="0.25">
      <c r="A4" s="1" t="s">
        <v>16</v>
      </c>
      <c r="B4" s="1">
        <v>1147.74</v>
      </c>
      <c r="C4" s="1">
        <v>1.0034600000000001E-3</v>
      </c>
      <c r="D4" s="2">
        <v>5.6256000000000003E-4</v>
      </c>
      <c r="E4" s="2">
        <v>1.21888E-4</v>
      </c>
      <c r="F4" s="1">
        <v>0</v>
      </c>
      <c r="G4" s="3">
        <v>148480</v>
      </c>
      <c r="H4" s="1">
        <v>0</v>
      </c>
      <c r="I4" s="1">
        <v>0</v>
      </c>
      <c r="J4" s="1">
        <v>74240</v>
      </c>
      <c r="K4" s="1">
        <v>0</v>
      </c>
      <c r="L4" s="1">
        <v>29</v>
      </c>
      <c r="M4" s="1">
        <v>1090.3357000000001</v>
      </c>
      <c r="N4" s="1">
        <v>43.744360276624334</v>
      </c>
    </row>
    <row r="5" spans="1:14" x14ac:dyDescent="0.25">
      <c r="A5" s="1" t="s">
        <v>17</v>
      </c>
      <c r="B5" s="1">
        <v>493.10399999999998</v>
      </c>
      <c r="C5" s="1">
        <v>2.1040199999999998E-3</v>
      </c>
      <c r="D5" s="2">
        <v>1.52698E-3</v>
      </c>
      <c r="E5" s="2">
        <v>2.8790400000000001E-4</v>
      </c>
      <c r="F5" s="1">
        <v>0</v>
      </c>
      <c r="G5" s="3">
        <v>312320</v>
      </c>
      <c r="H5" s="1">
        <v>0</v>
      </c>
      <c r="I5" s="1">
        <v>0</v>
      </c>
      <c r="J5" s="1">
        <v>156160</v>
      </c>
      <c r="K5" s="1">
        <v>0</v>
      </c>
      <c r="L5" s="1">
        <v>36</v>
      </c>
      <c r="M5" s="1">
        <v>486.4717</v>
      </c>
      <c r="N5" s="1">
        <v>5.5364016803937401</v>
      </c>
    </row>
    <row r="6" spans="1:14" x14ac:dyDescent="0.25">
      <c r="A6" s="1" t="s">
        <v>18</v>
      </c>
      <c r="B6" s="1">
        <v>325.36599999999999</v>
      </c>
      <c r="C6" s="1">
        <v>3.1908599999999998E-3</v>
      </c>
      <c r="D6" s="2">
        <v>2.3865599999999998E-3</v>
      </c>
      <c r="E6" s="2">
        <v>4.2326400000000002E-4</v>
      </c>
      <c r="F6" s="1">
        <v>0</v>
      </c>
      <c r="G6" s="3">
        <v>459776</v>
      </c>
      <c r="H6" s="1">
        <v>0</v>
      </c>
      <c r="I6" s="1">
        <v>0</v>
      </c>
      <c r="J6" s="1">
        <v>229888</v>
      </c>
      <c r="K6" s="1">
        <v>0</v>
      </c>
      <c r="L6" s="1">
        <v>41</v>
      </c>
      <c r="M6" s="1">
        <v>322.58609999999999</v>
      </c>
      <c r="N6" s="1">
        <v>3.4476923506085169</v>
      </c>
    </row>
    <row r="7" spans="1:14" x14ac:dyDescent="0.25">
      <c r="A7" s="1" t="s">
        <v>19</v>
      </c>
      <c r="B7" s="1">
        <v>232.03100000000001</v>
      </c>
      <c r="C7" s="1">
        <v>4.3961599999999997E-3</v>
      </c>
      <c r="D7" s="2">
        <v>3.3958700000000001E-3</v>
      </c>
      <c r="E7" s="2">
        <v>5.7567999999999996E-4</v>
      </c>
      <c r="F7" s="1">
        <v>0</v>
      </c>
      <c r="G7" s="3">
        <v>623616</v>
      </c>
      <c r="H7" s="1">
        <v>0</v>
      </c>
      <c r="I7" s="1">
        <v>0</v>
      </c>
      <c r="J7" s="1">
        <v>311808</v>
      </c>
      <c r="K7" s="1">
        <v>0</v>
      </c>
      <c r="L7" s="1">
        <v>45</v>
      </c>
      <c r="M7" s="1">
        <v>231.0558</v>
      </c>
      <c r="N7" s="1">
        <v>1.3401969009564729</v>
      </c>
    </row>
    <row r="8" spans="1:14" x14ac:dyDescent="0.25">
      <c r="A8" s="1" t="s">
        <v>20</v>
      </c>
      <c r="B8" s="1">
        <v>177.78100000000001</v>
      </c>
      <c r="C8" s="1">
        <v>5.6794100000000002E-3</v>
      </c>
      <c r="D8" s="2">
        <v>4.4171200000000001E-3</v>
      </c>
      <c r="E8" s="2">
        <v>8.6009599999999997E-4</v>
      </c>
      <c r="F8" s="1">
        <v>0</v>
      </c>
      <c r="G8" s="3">
        <v>787456</v>
      </c>
      <c r="H8" s="1">
        <v>0</v>
      </c>
      <c r="I8" s="1">
        <v>0</v>
      </c>
      <c r="J8" s="1">
        <v>393728</v>
      </c>
      <c r="K8" s="1">
        <v>0</v>
      </c>
      <c r="L8" s="1">
        <v>49</v>
      </c>
      <c r="M8" s="1">
        <v>177.22020000000001</v>
      </c>
      <c r="N8" s="1">
        <v>0.57805878209362016</v>
      </c>
    </row>
    <row r="9" spans="1:14" x14ac:dyDescent="0.25">
      <c r="A9" s="1" t="s">
        <v>21</v>
      </c>
      <c r="B9" s="1">
        <v>148.32599999999999</v>
      </c>
      <c r="C9" s="1">
        <v>6.9069300000000004E-3</v>
      </c>
      <c r="D9" s="2">
        <v>5.3329600000000003E-3</v>
      </c>
      <c r="E9" s="2">
        <v>1.0150999999999999E-3</v>
      </c>
      <c r="F9" s="1">
        <v>0</v>
      </c>
      <c r="G9" s="3">
        <v>934912</v>
      </c>
      <c r="H9" s="1">
        <v>0</v>
      </c>
      <c r="I9" s="1">
        <v>0</v>
      </c>
      <c r="J9" s="1">
        <v>467456</v>
      </c>
      <c r="K9" s="1">
        <v>0</v>
      </c>
      <c r="L9" s="1">
        <v>51</v>
      </c>
      <c r="M9" s="1">
        <v>146.63640000000001</v>
      </c>
      <c r="N9" s="1">
        <v>1.1549739006190127</v>
      </c>
    </row>
    <row r="10" spans="1:14" x14ac:dyDescent="0.25">
      <c r="A10" s="1" t="s">
        <v>22</v>
      </c>
      <c r="B10" s="1">
        <v>126.30800000000001</v>
      </c>
      <c r="C10" s="1">
        <v>8.0471499999999994E-3</v>
      </c>
      <c r="D10" s="2">
        <v>6.8260200000000004E-3</v>
      </c>
      <c r="E10" s="2">
        <v>1.4432E-3</v>
      </c>
      <c r="F10" s="1">
        <v>0</v>
      </c>
      <c r="G10" s="3">
        <v>1098752</v>
      </c>
      <c r="H10" s="1">
        <v>0</v>
      </c>
      <c r="I10" s="1">
        <v>0</v>
      </c>
      <c r="J10" s="1">
        <v>549376</v>
      </c>
      <c r="K10" s="1">
        <v>0</v>
      </c>
      <c r="L10" s="1">
        <v>54</v>
      </c>
      <c r="M10" s="1">
        <v>125.14400000000001</v>
      </c>
      <c r="N10" s="1">
        <v>0.60742791067472979</v>
      </c>
    </row>
    <row r="11" spans="1:14" x14ac:dyDescent="0.25">
      <c r="A11" s="1" t="s">
        <v>23</v>
      </c>
      <c r="B11" s="1">
        <v>108.583</v>
      </c>
      <c r="C11" s="1">
        <v>9.3557399999999995E-3</v>
      </c>
      <c r="D11" s="2">
        <v>7.8664300000000006E-3</v>
      </c>
      <c r="E11" s="2">
        <v>1.6608599999999999E-3</v>
      </c>
      <c r="F11" s="1">
        <v>0</v>
      </c>
      <c r="G11" s="3">
        <v>1262592</v>
      </c>
      <c r="H11" s="1">
        <v>0</v>
      </c>
      <c r="I11" s="1">
        <v>0</v>
      </c>
      <c r="J11" s="1">
        <v>631296</v>
      </c>
      <c r="K11" s="1">
        <v>0</v>
      </c>
      <c r="L11" s="1">
        <v>57</v>
      </c>
      <c r="M11" s="1">
        <v>107.62519999999999</v>
      </c>
      <c r="N11" s="1">
        <v>0.59505570234129257</v>
      </c>
    </row>
    <row r="12" spans="1:14" x14ac:dyDescent="0.25">
      <c r="A12" s="1" t="s">
        <v>24</v>
      </c>
      <c r="B12" s="1">
        <v>96.237099999999998</v>
      </c>
      <c r="C12" s="1">
        <v>1.06488E-2</v>
      </c>
      <c r="D12" s="2">
        <v>8.8737299999999998E-3</v>
      </c>
      <c r="E12" s="2">
        <v>1.9367E-3</v>
      </c>
      <c r="F12" s="1">
        <v>0</v>
      </c>
      <c r="G12" s="3">
        <v>1426432</v>
      </c>
      <c r="H12" s="1">
        <v>0</v>
      </c>
      <c r="I12" s="1">
        <v>0</v>
      </c>
      <c r="J12" s="1">
        <v>713216</v>
      </c>
      <c r="K12" s="1">
        <v>0</v>
      </c>
      <c r="L12" s="1">
        <v>59</v>
      </c>
      <c r="M12" s="1">
        <v>94.546170000000004</v>
      </c>
      <c r="N12" s="1">
        <v>0.65634987121537725</v>
      </c>
    </row>
    <row r="13" spans="1:14" x14ac:dyDescent="0.25">
      <c r="A13" s="1" t="s">
        <v>25</v>
      </c>
      <c r="B13" s="1">
        <v>87.168199999999999</v>
      </c>
      <c r="C13" s="1">
        <v>1.18367E-2</v>
      </c>
      <c r="D13" s="2">
        <v>9.8912300000000009E-3</v>
      </c>
      <c r="E13" s="2">
        <v>2.2083799999999998E-3</v>
      </c>
      <c r="F13" s="1">
        <v>0</v>
      </c>
      <c r="G13" s="3">
        <v>1590272</v>
      </c>
      <c r="H13" s="1">
        <v>0</v>
      </c>
      <c r="I13" s="1">
        <v>0</v>
      </c>
      <c r="J13" s="1">
        <v>795136</v>
      </c>
      <c r="K13" s="1">
        <v>0</v>
      </c>
      <c r="L13" s="1">
        <v>61</v>
      </c>
      <c r="M13" s="1">
        <v>85.191580000000002</v>
      </c>
      <c r="N13" s="1">
        <v>0.75854046958616517</v>
      </c>
    </row>
    <row r="14" spans="1:14" x14ac:dyDescent="0.25">
      <c r="A14" s="1" t="s">
        <v>26</v>
      </c>
      <c r="B14" s="1">
        <v>77.683899999999994</v>
      </c>
      <c r="C14" s="1">
        <v>1.3161300000000001E-2</v>
      </c>
      <c r="D14" s="2">
        <v>1.09383E-2</v>
      </c>
      <c r="E14" s="2">
        <v>2.14138E-3</v>
      </c>
      <c r="F14" s="1">
        <v>0</v>
      </c>
      <c r="G14" s="3">
        <v>1754112</v>
      </c>
      <c r="H14" s="1">
        <v>0</v>
      </c>
      <c r="I14" s="1">
        <v>0</v>
      </c>
      <c r="J14" s="1">
        <v>877056</v>
      </c>
      <c r="K14" s="1">
        <v>0</v>
      </c>
      <c r="L14" s="1">
        <v>63</v>
      </c>
      <c r="M14" s="1">
        <v>76.821780000000004</v>
      </c>
      <c r="N14" s="1">
        <v>0.47421959001664687</v>
      </c>
    </row>
    <row r="15" spans="1:14" x14ac:dyDescent="0.25">
      <c r="A15" s="1" t="s">
        <v>27</v>
      </c>
      <c r="B15" s="1">
        <v>71.808400000000006</v>
      </c>
      <c r="C15" s="1">
        <v>1.43853E-2</v>
      </c>
      <c r="D15" s="2">
        <v>1.19235E-2</v>
      </c>
      <c r="E15" s="2">
        <v>2.6574699999999999E-3</v>
      </c>
      <c r="F15" s="1">
        <v>0</v>
      </c>
      <c r="G15" s="3">
        <v>1917952</v>
      </c>
      <c r="H15" s="1">
        <v>0</v>
      </c>
      <c r="I15" s="1">
        <v>0</v>
      </c>
      <c r="J15" s="1">
        <v>958976</v>
      </c>
      <c r="K15" s="1">
        <v>0</v>
      </c>
      <c r="L15" s="1">
        <v>65</v>
      </c>
      <c r="M15" s="1">
        <v>70.199809999999999</v>
      </c>
      <c r="N15" s="1">
        <v>0.642907877364852</v>
      </c>
    </row>
    <row r="16" spans="1:14" x14ac:dyDescent="0.25">
      <c r="A16" s="1" t="s">
        <v>28</v>
      </c>
      <c r="B16" s="1">
        <v>66.652500000000003</v>
      </c>
      <c r="C16" s="1">
        <v>1.56046E-2</v>
      </c>
      <c r="D16" s="2">
        <v>1.2935500000000001E-2</v>
      </c>
      <c r="E16" s="2">
        <v>2.72317E-3</v>
      </c>
      <c r="F16" s="1">
        <v>0</v>
      </c>
      <c r="G16" s="3">
        <v>2081792</v>
      </c>
      <c r="H16" s="1">
        <v>0</v>
      </c>
      <c r="I16" s="1">
        <v>0</v>
      </c>
      <c r="J16" s="1">
        <v>1040896</v>
      </c>
      <c r="K16" s="1">
        <v>0</v>
      </c>
      <c r="L16" s="1">
        <v>66</v>
      </c>
      <c r="M16" s="1">
        <v>64.848990000000001</v>
      </c>
      <c r="N16" s="1">
        <v>0.69542584307906108</v>
      </c>
    </row>
    <row r="17" spans="1:14" x14ac:dyDescent="0.25">
      <c r="A17" s="1" t="s">
        <v>29</v>
      </c>
      <c r="B17" s="1">
        <v>61.3294</v>
      </c>
      <c r="C17" s="1">
        <v>1.6991800000000001E-2</v>
      </c>
      <c r="D17" s="2">
        <v>1.3931799999999999E-2</v>
      </c>
      <c r="E17" s="2">
        <v>2.4992999999999999E-3</v>
      </c>
      <c r="F17" s="1">
        <v>0</v>
      </c>
      <c r="G17" s="3">
        <v>2245632</v>
      </c>
      <c r="H17" s="1">
        <v>0</v>
      </c>
      <c r="I17" s="1">
        <v>0</v>
      </c>
      <c r="J17" s="1">
        <v>1122816</v>
      </c>
      <c r="K17" s="1">
        <v>0</v>
      </c>
      <c r="L17" s="1">
        <v>68</v>
      </c>
      <c r="M17" s="1">
        <v>59.496969999999997</v>
      </c>
      <c r="N17" s="1">
        <v>0.70940169008037224</v>
      </c>
    </row>
    <row r="18" spans="1:14" x14ac:dyDescent="0.25">
      <c r="A18" s="1" t="s">
        <v>30</v>
      </c>
      <c r="B18" s="1">
        <v>57.737000000000002</v>
      </c>
      <c r="C18" s="1">
        <v>1.8209300000000001E-2</v>
      </c>
      <c r="D18" s="2">
        <v>1.49272E-2</v>
      </c>
      <c r="E18" s="2">
        <v>3.3355199999999998E-3</v>
      </c>
      <c r="F18" s="1">
        <v>0</v>
      </c>
      <c r="G18" s="3">
        <v>2409472</v>
      </c>
      <c r="H18" s="1">
        <v>0</v>
      </c>
      <c r="I18" s="1">
        <v>0</v>
      </c>
      <c r="J18" s="1">
        <v>1204736</v>
      </c>
      <c r="K18" s="1">
        <v>0</v>
      </c>
      <c r="L18" s="1">
        <v>70</v>
      </c>
      <c r="M18" s="1">
        <v>55.52299</v>
      </c>
      <c r="N18" s="1">
        <v>0.81058930065313262</v>
      </c>
    </row>
    <row r="19" spans="1:14" x14ac:dyDescent="0.25">
      <c r="A19" s="1" t="s">
        <v>31</v>
      </c>
      <c r="B19" s="1">
        <v>53.410699999999999</v>
      </c>
      <c r="C19" s="1">
        <v>1.9548300000000001E-2</v>
      </c>
      <c r="D19" s="2">
        <v>1.59644E-2</v>
      </c>
      <c r="E19" s="2">
        <v>3.3781100000000001E-3</v>
      </c>
      <c r="F19" s="1">
        <v>0</v>
      </c>
      <c r="G19" s="3">
        <v>2573312</v>
      </c>
      <c r="H19" s="1">
        <v>0</v>
      </c>
      <c r="I19" s="1">
        <v>0</v>
      </c>
      <c r="J19" s="1">
        <v>1286656</v>
      </c>
      <c r="K19" s="1">
        <v>0</v>
      </c>
      <c r="L19" s="1">
        <v>71</v>
      </c>
      <c r="M19" s="1">
        <v>51.820630000000001</v>
      </c>
      <c r="N19" s="1">
        <v>0.62474156443551376</v>
      </c>
    </row>
    <row r="20" spans="1:14" x14ac:dyDescent="0.25">
      <c r="A20" s="1" t="s">
        <v>32</v>
      </c>
      <c r="B20" s="1">
        <v>50.717700000000001</v>
      </c>
      <c r="C20" s="1">
        <v>2.0800900000000001E-2</v>
      </c>
      <c r="D20" s="2">
        <v>1.6967699999999999E-2</v>
      </c>
      <c r="E20" s="2">
        <v>3.1683800000000002E-3</v>
      </c>
      <c r="F20" s="1">
        <v>0</v>
      </c>
      <c r="G20" s="3">
        <v>2737152</v>
      </c>
      <c r="H20" s="1">
        <v>0</v>
      </c>
      <c r="I20" s="1">
        <v>0</v>
      </c>
      <c r="J20" s="1">
        <v>1368576</v>
      </c>
      <c r="K20" s="1">
        <v>0</v>
      </c>
      <c r="L20" s="1">
        <v>72</v>
      </c>
      <c r="M20" s="1">
        <v>48.740160000000003</v>
      </c>
      <c r="N20" s="1">
        <v>0.79135762557490763</v>
      </c>
    </row>
    <row r="21" spans="1:14" x14ac:dyDescent="0.25">
      <c r="A21" s="1" t="s">
        <v>33</v>
      </c>
      <c r="B21" s="1">
        <v>48.2515</v>
      </c>
      <c r="C21" s="1">
        <v>2.2011099999999999E-2</v>
      </c>
      <c r="D21" s="2">
        <v>1.7925E-2</v>
      </c>
      <c r="E21" s="2">
        <v>3.5630700000000002E-3</v>
      </c>
      <c r="F21" s="1">
        <v>0</v>
      </c>
      <c r="G21" s="3">
        <v>2900992</v>
      </c>
      <c r="H21" s="1">
        <v>0</v>
      </c>
      <c r="I21" s="1">
        <v>0</v>
      </c>
      <c r="J21" s="1">
        <v>1450496</v>
      </c>
      <c r="K21" s="1">
        <v>0</v>
      </c>
      <c r="L21" s="1">
        <v>74</v>
      </c>
      <c r="M21" s="1">
        <v>46.112290000000002</v>
      </c>
      <c r="N21" s="1">
        <v>0.81842677328043345</v>
      </c>
    </row>
    <row r="22" spans="1:14" x14ac:dyDescent="0.25">
      <c r="A22" s="1" t="s">
        <v>34</v>
      </c>
      <c r="B22" s="1">
        <v>45.518900000000002</v>
      </c>
      <c r="C22" s="1">
        <v>2.3471800000000001E-2</v>
      </c>
      <c r="D22" s="2">
        <v>1.93785E-2</v>
      </c>
      <c r="E22" s="2">
        <v>3.5690600000000002E-3</v>
      </c>
      <c r="F22" s="1">
        <v>0</v>
      </c>
      <c r="G22" s="3">
        <v>3064832</v>
      </c>
      <c r="H22" s="1">
        <v>0</v>
      </c>
      <c r="I22" s="1">
        <v>0</v>
      </c>
      <c r="J22" s="1">
        <v>1532416</v>
      </c>
      <c r="K22" s="1">
        <v>0</v>
      </c>
      <c r="L22" s="1">
        <v>75</v>
      </c>
      <c r="M22" s="1">
        <v>43.41066</v>
      </c>
      <c r="N22" s="1">
        <v>0.80733076272643312</v>
      </c>
    </row>
    <row r="23" spans="1:14" x14ac:dyDescent="0.25">
      <c r="A23" s="1" t="s">
        <v>35</v>
      </c>
      <c r="B23" s="1">
        <v>43.085500000000003</v>
      </c>
      <c r="C23" s="1">
        <v>2.4580100000000001E-2</v>
      </c>
      <c r="D23" s="2">
        <v>2.0523E-2</v>
      </c>
      <c r="E23" s="2">
        <v>3.99066E-3</v>
      </c>
      <c r="F23" s="1">
        <v>0</v>
      </c>
      <c r="G23" s="3">
        <v>3228672</v>
      </c>
      <c r="H23" s="1">
        <v>0</v>
      </c>
      <c r="I23" s="1">
        <v>0</v>
      </c>
      <c r="J23" s="1">
        <v>1614336</v>
      </c>
      <c r="K23" s="1">
        <v>0</v>
      </c>
      <c r="L23" s="1">
        <v>76</v>
      </c>
      <c r="M23" s="1">
        <v>41.30057</v>
      </c>
      <c r="N23" s="1">
        <v>0.691470021925914</v>
      </c>
    </row>
    <row r="24" spans="1:14" x14ac:dyDescent="0.25">
      <c r="A24" s="1" t="s">
        <v>36</v>
      </c>
      <c r="B24" s="1">
        <v>41.283999999999999</v>
      </c>
      <c r="C24" s="1">
        <v>2.5803099999999999E-2</v>
      </c>
      <c r="D24" s="2">
        <v>2.0978E-2</v>
      </c>
      <c r="E24" s="2">
        <v>4.5149099999999996E-3</v>
      </c>
      <c r="F24" s="1">
        <v>0</v>
      </c>
      <c r="G24" s="3">
        <v>3392512</v>
      </c>
      <c r="H24" s="1">
        <v>0</v>
      </c>
      <c r="I24" s="1">
        <v>0</v>
      </c>
      <c r="J24" s="1">
        <v>1696256</v>
      </c>
      <c r="K24" s="1">
        <v>0</v>
      </c>
      <c r="L24" s="1">
        <v>78</v>
      </c>
      <c r="M24" s="1">
        <v>39.434399999999997</v>
      </c>
      <c r="N24" s="1">
        <v>0.71882206575912899</v>
      </c>
    </row>
    <row r="25" spans="1:14" x14ac:dyDescent="0.25">
      <c r="A25" s="1" t="s">
        <v>37</v>
      </c>
      <c r="B25" s="1">
        <v>39.601500000000001</v>
      </c>
      <c r="C25" s="1">
        <v>2.71214E-2</v>
      </c>
      <c r="D25" s="2">
        <v>2.2229200000000001E-2</v>
      </c>
      <c r="E25" s="2">
        <v>4.3925800000000001E-3</v>
      </c>
      <c r="F25" s="1">
        <v>0</v>
      </c>
      <c r="G25" s="3">
        <v>3539968</v>
      </c>
      <c r="H25" s="1">
        <v>0</v>
      </c>
      <c r="I25" s="1">
        <v>0</v>
      </c>
      <c r="J25" s="1">
        <v>1769984</v>
      </c>
      <c r="K25" s="1">
        <v>0</v>
      </c>
      <c r="L25" s="1">
        <v>79</v>
      </c>
      <c r="M25" s="1">
        <v>37.525950000000002</v>
      </c>
      <c r="N25" s="1">
        <v>0.75963997356935087</v>
      </c>
    </row>
    <row r="26" spans="1:14" x14ac:dyDescent="0.25">
      <c r="A26" s="1" t="s">
        <v>38</v>
      </c>
      <c r="B26" s="1">
        <v>37.947200000000002</v>
      </c>
      <c r="C26" s="1">
        <v>2.8312400000000001E-2</v>
      </c>
      <c r="D26" s="2">
        <v>2.3213500000000001E-2</v>
      </c>
      <c r="E26" s="2">
        <v>4.9197399999999997E-3</v>
      </c>
      <c r="F26" s="1">
        <v>0</v>
      </c>
      <c r="G26" s="3">
        <v>3703808</v>
      </c>
      <c r="H26" s="1">
        <v>0</v>
      </c>
      <c r="I26" s="1">
        <v>0</v>
      </c>
      <c r="J26" s="1">
        <v>1851904</v>
      </c>
      <c r="K26" s="1">
        <v>0</v>
      </c>
      <c r="L26" s="1">
        <v>80</v>
      </c>
      <c r="M26" s="1">
        <v>36.050339999999998</v>
      </c>
      <c r="N26" s="1">
        <v>0.74661880382309087</v>
      </c>
    </row>
    <row r="27" spans="1:14" x14ac:dyDescent="0.25">
      <c r="A27" s="1" t="s">
        <v>39</v>
      </c>
      <c r="B27" s="1">
        <v>36.088900000000002</v>
      </c>
      <c r="C27" s="1">
        <v>2.9711899999999999E-2</v>
      </c>
      <c r="D27" s="2">
        <v>2.3906299999999998E-2</v>
      </c>
      <c r="E27" s="2">
        <v>5.0836800000000001E-3</v>
      </c>
      <c r="F27" s="1">
        <v>0</v>
      </c>
      <c r="G27" s="3">
        <v>3867648</v>
      </c>
      <c r="H27" s="1">
        <v>0</v>
      </c>
      <c r="I27" s="1">
        <v>0</v>
      </c>
      <c r="J27" s="1">
        <v>1933824</v>
      </c>
      <c r="K27" s="1">
        <v>0</v>
      </c>
      <c r="L27" s="1">
        <v>81</v>
      </c>
      <c r="M27" s="1">
        <v>34.13288</v>
      </c>
      <c r="N27" s="1">
        <v>0.7307464187010746</v>
      </c>
    </row>
    <row r="28" spans="1:14" x14ac:dyDescent="0.25">
      <c r="A28" s="1" t="s">
        <v>40</v>
      </c>
      <c r="B28" s="1">
        <v>34.972700000000003</v>
      </c>
      <c r="C28" s="1">
        <v>3.0955099999999999E-2</v>
      </c>
      <c r="D28" s="2">
        <v>2.49284E-2</v>
      </c>
      <c r="E28" s="2">
        <v>5.4018900000000003E-3</v>
      </c>
      <c r="F28" s="1">
        <v>0</v>
      </c>
      <c r="G28" s="3">
        <v>4031488</v>
      </c>
      <c r="H28" s="1">
        <v>0</v>
      </c>
      <c r="I28" s="1">
        <v>0</v>
      </c>
      <c r="J28" s="1">
        <v>2015744</v>
      </c>
      <c r="K28" s="1">
        <v>0</v>
      </c>
      <c r="L28" s="1">
        <v>82</v>
      </c>
      <c r="M28" s="1">
        <v>33.010280000000002</v>
      </c>
      <c r="N28" s="1">
        <v>0.74224254316826266</v>
      </c>
    </row>
    <row r="29" spans="1:14" x14ac:dyDescent="0.25">
      <c r="A29" s="1" t="s">
        <v>41</v>
      </c>
      <c r="B29" s="1">
        <v>33.614800000000002</v>
      </c>
      <c r="C29" s="1">
        <v>3.1780500000000003E-2</v>
      </c>
      <c r="D29" s="2">
        <v>2.6098799999999998E-2</v>
      </c>
      <c r="E29" s="2">
        <v>5.2038400000000004E-3</v>
      </c>
      <c r="F29" s="1">
        <v>0</v>
      </c>
      <c r="G29" s="3">
        <v>4195328</v>
      </c>
      <c r="H29" s="1">
        <v>0</v>
      </c>
      <c r="I29" s="1">
        <v>0</v>
      </c>
      <c r="J29" s="1">
        <v>2097664</v>
      </c>
      <c r="K29" s="1">
        <v>0</v>
      </c>
      <c r="L29" s="1">
        <v>83</v>
      </c>
      <c r="M29" s="1">
        <v>31.741630000000001</v>
      </c>
      <c r="N29" s="1">
        <v>0.65944237394601557</v>
      </c>
    </row>
    <row r="30" spans="1:14" x14ac:dyDescent="0.25">
      <c r="A30" s="1" t="s">
        <v>42</v>
      </c>
      <c r="B30" s="1">
        <v>32.210500000000003</v>
      </c>
      <c r="C30" s="1">
        <v>3.3576799999999997E-2</v>
      </c>
      <c r="D30" s="2">
        <v>2.7540100000000001E-2</v>
      </c>
      <c r="E30" s="2">
        <v>5.9905000000000002E-3</v>
      </c>
      <c r="F30" s="1">
        <v>0</v>
      </c>
      <c r="G30" s="3">
        <v>4359168</v>
      </c>
      <c r="H30" s="1">
        <v>0</v>
      </c>
      <c r="I30" s="1">
        <v>0</v>
      </c>
      <c r="J30" s="1">
        <v>2179584</v>
      </c>
      <c r="K30" s="1">
        <v>0</v>
      </c>
      <c r="L30" s="1">
        <v>84</v>
      </c>
      <c r="M30" s="1">
        <v>30.32281</v>
      </c>
      <c r="N30" s="1">
        <v>0.72057372889786886</v>
      </c>
    </row>
    <row r="31" spans="1:14" x14ac:dyDescent="0.25">
      <c r="A31" s="1" t="s">
        <v>43</v>
      </c>
      <c r="B31" s="1">
        <v>31.173999999999999</v>
      </c>
      <c r="C31" s="1">
        <v>3.4942599999999997E-2</v>
      </c>
      <c r="D31" s="2">
        <v>2.8469999999999999E-2</v>
      </c>
      <c r="E31" s="2">
        <v>5.71946E-3</v>
      </c>
      <c r="F31" s="1">
        <v>0</v>
      </c>
      <c r="G31" s="3">
        <v>4523008</v>
      </c>
      <c r="H31" s="1">
        <v>0</v>
      </c>
      <c r="I31" s="1">
        <v>0</v>
      </c>
      <c r="J31" s="1">
        <v>2261504</v>
      </c>
      <c r="K31" s="1">
        <v>0</v>
      </c>
      <c r="L31" s="1">
        <v>85</v>
      </c>
      <c r="M31" s="1">
        <v>29.29466</v>
      </c>
      <c r="N31" s="1">
        <v>0.72881585420003925</v>
      </c>
    </row>
    <row r="32" spans="1:14" x14ac:dyDescent="0.25">
      <c r="A32" s="1" t="s">
        <v>44</v>
      </c>
      <c r="B32" s="1">
        <v>30.159500000000001</v>
      </c>
      <c r="C32" s="1">
        <v>3.6203800000000001E-2</v>
      </c>
      <c r="D32" s="2">
        <v>2.9484E-2</v>
      </c>
      <c r="E32" s="2">
        <v>8.9471399999999993E-3</v>
      </c>
      <c r="F32" s="1">
        <v>0</v>
      </c>
      <c r="G32" s="3">
        <v>4686848</v>
      </c>
      <c r="H32" s="1">
        <v>0</v>
      </c>
      <c r="I32" s="1">
        <v>0</v>
      </c>
      <c r="J32" s="1">
        <v>2343424</v>
      </c>
      <c r="K32" s="1">
        <v>0</v>
      </c>
      <c r="L32" s="1">
        <v>86</v>
      </c>
      <c r="M32" s="1">
        <v>28.28227</v>
      </c>
      <c r="N32" s="1">
        <v>0.72540140772770323</v>
      </c>
    </row>
    <row r="33" spans="1:14" x14ac:dyDescent="0.25">
      <c r="A33" s="1" t="s">
        <v>45</v>
      </c>
      <c r="B33" s="1">
        <v>29.170100000000001</v>
      </c>
      <c r="C33" s="1">
        <v>3.7761700000000002E-2</v>
      </c>
      <c r="D33" s="2">
        <v>3.0248899999999999E-2</v>
      </c>
      <c r="E33" s="2">
        <v>6.3694099999999998E-3</v>
      </c>
      <c r="F33" s="1">
        <v>0</v>
      </c>
      <c r="G33" s="3">
        <v>4850688</v>
      </c>
      <c r="H33" s="1">
        <v>0</v>
      </c>
      <c r="I33" s="1">
        <v>0</v>
      </c>
      <c r="J33" s="1">
        <v>2425344</v>
      </c>
      <c r="K33" s="1">
        <v>0</v>
      </c>
      <c r="L33" s="1">
        <v>87</v>
      </c>
      <c r="M33" s="1">
        <v>27.25769</v>
      </c>
      <c r="N33" s="1">
        <v>0.74418815340387356</v>
      </c>
    </row>
    <row r="34" spans="1:14" x14ac:dyDescent="0.25">
      <c r="A34" s="1" t="s">
        <v>46</v>
      </c>
      <c r="B34" s="1">
        <v>28.192699999999999</v>
      </c>
      <c r="C34" s="1">
        <v>3.8782299999999999E-2</v>
      </c>
      <c r="D34" s="2">
        <v>3.13429E-2</v>
      </c>
      <c r="E34" s="2">
        <v>6.67491E-3</v>
      </c>
      <c r="F34" s="1">
        <v>0</v>
      </c>
      <c r="G34" s="3">
        <v>5014528</v>
      </c>
      <c r="H34" s="1">
        <v>0</v>
      </c>
      <c r="I34" s="1">
        <v>0</v>
      </c>
      <c r="J34" s="1">
        <v>2507264</v>
      </c>
      <c r="K34" s="1">
        <v>0</v>
      </c>
      <c r="L34" s="1">
        <v>88</v>
      </c>
      <c r="M34" s="1">
        <v>26.350580000000001</v>
      </c>
      <c r="N34" s="1">
        <v>0.70085670559521462</v>
      </c>
    </row>
    <row r="35" spans="1:14" x14ac:dyDescent="0.25">
      <c r="A35" s="1" t="s">
        <v>47</v>
      </c>
      <c r="B35" s="1">
        <v>27.1859</v>
      </c>
      <c r="C35" s="1">
        <v>4.0300200000000001E-2</v>
      </c>
      <c r="D35" s="2">
        <v>3.2553199999999997E-2</v>
      </c>
      <c r="E35" s="2">
        <v>6.9072300000000003E-3</v>
      </c>
      <c r="F35" s="1">
        <v>0</v>
      </c>
      <c r="G35" s="3">
        <v>5178368</v>
      </c>
      <c r="H35" s="1">
        <v>0</v>
      </c>
      <c r="I35" s="1">
        <v>0</v>
      </c>
      <c r="J35" s="1">
        <v>2589184</v>
      </c>
      <c r="K35" s="1">
        <v>0</v>
      </c>
      <c r="L35" s="1">
        <v>89</v>
      </c>
      <c r="M35" s="1">
        <v>25.39611</v>
      </c>
      <c r="N35" s="1">
        <v>0.68204691505301407</v>
      </c>
    </row>
    <row r="36" spans="1:14" x14ac:dyDescent="0.25">
      <c r="A36" s="1" t="s">
        <v>48</v>
      </c>
      <c r="B36" s="1">
        <v>26.593699999999998</v>
      </c>
      <c r="C36" s="1">
        <v>4.1930099999999998E-2</v>
      </c>
      <c r="D36" s="2">
        <v>3.3365199999999998E-2</v>
      </c>
      <c r="E36" s="2">
        <v>6.8126100000000002E-3</v>
      </c>
      <c r="F36" s="1">
        <v>0</v>
      </c>
      <c r="G36" s="3">
        <v>5342208</v>
      </c>
      <c r="H36" s="1">
        <v>0</v>
      </c>
      <c r="I36" s="1">
        <v>0</v>
      </c>
      <c r="J36" s="1">
        <v>2671104</v>
      </c>
      <c r="K36" s="1">
        <v>0</v>
      </c>
      <c r="L36" s="1">
        <v>90</v>
      </c>
      <c r="M36" s="1">
        <v>24.67897</v>
      </c>
      <c r="N36" s="1">
        <v>0.73872310411652542</v>
      </c>
    </row>
    <row r="37" spans="1:14" x14ac:dyDescent="0.25">
      <c r="A37" s="1" t="s">
        <v>49</v>
      </c>
      <c r="B37" s="1">
        <v>25.883299999999998</v>
      </c>
      <c r="C37" s="1">
        <v>4.2856999999999999E-2</v>
      </c>
      <c r="D37" s="2">
        <v>3.4039300000000002E-2</v>
      </c>
      <c r="E37" s="2">
        <v>7.2073299999999996E-3</v>
      </c>
      <c r="F37" s="1">
        <v>0</v>
      </c>
      <c r="G37" s="3">
        <v>5506048</v>
      </c>
      <c r="H37" s="1">
        <v>0</v>
      </c>
      <c r="I37" s="1">
        <v>0</v>
      </c>
      <c r="J37" s="1">
        <v>2753024</v>
      </c>
      <c r="K37" s="1">
        <v>0</v>
      </c>
      <c r="L37" s="1">
        <v>91</v>
      </c>
      <c r="M37" s="1">
        <v>23.94914</v>
      </c>
      <c r="N37" s="1">
        <v>0.73709918705392341</v>
      </c>
    </row>
    <row r="38" spans="1:14" x14ac:dyDescent="0.25">
      <c r="A38" s="1" t="s">
        <v>50</v>
      </c>
      <c r="B38" s="1">
        <v>24.997900000000001</v>
      </c>
      <c r="C38" s="1">
        <v>4.4367700000000003E-2</v>
      </c>
      <c r="D38" s="2">
        <v>3.5055299999999998E-2</v>
      </c>
      <c r="E38" s="2">
        <v>7.7851200000000004E-3</v>
      </c>
      <c r="F38" s="1">
        <v>0</v>
      </c>
      <c r="G38" s="3">
        <v>5669888</v>
      </c>
      <c r="H38" s="1">
        <v>0</v>
      </c>
      <c r="I38" s="1">
        <v>0</v>
      </c>
      <c r="J38" s="1">
        <v>2834944</v>
      </c>
      <c r="K38" s="1">
        <v>0</v>
      </c>
      <c r="L38" s="1">
        <v>92</v>
      </c>
      <c r="M38" s="1">
        <v>23.140540000000001</v>
      </c>
      <c r="N38" s="1">
        <v>0.71609848360558792</v>
      </c>
    </row>
    <row r="39" spans="1:14" x14ac:dyDescent="0.25">
      <c r="A39" s="1" t="s">
        <v>51</v>
      </c>
      <c r="B39" s="1">
        <v>24.42</v>
      </c>
      <c r="C39" s="1">
        <v>4.5838400000000001E-2</v>
      </c>
      <c r="D39" s="2">
        <v>3.6053399999999999E-2</v>
      </c>
      <c r="E39" s="2">
        <v>7.9003200000000006E-3</v>
      </c>
      <c r="F39" s="1">
        <v>0</v>
      </c>
      <c r="G39" s="3">
        <v>5833728</v>
      </c>
      <c r="H39" s="1">
        <v>0</v>
      </c>
      <c r="I39" s="1">
        <v>0</v>
      </c>
      <c r="J39" s="1">
        <v>2916864</v>
      </c>
      <c r="K39" s="1">
        <v>0</v>
      </c>
      <c r="L39" s="1">
        <v>93</v>
      </c>
      <c r="M39" s="1">
        <v>22.45654</v>
      </c>
      <c r="N39" s="1">
        <v>0.75124919552554492</v>
      </c>
    </row>
    <row r="40" spans="1:14" x14ac:dyDescent="0.25">
      <c r="A40" s="1" t="s">
        <v>52</v>
      </c>
      <c r="B40" s="1">
        <v>23.803799999999999</v>
      </c>
      <c r="C40" s="1">
        <v>4.6993199999999999E-2</v>
      </c>
      <c r="D40" s="2">
        <v>3.7055299999999999E-2</v>
      </c>
      <c r="E40" s="2">
        <v>7.76912E-3</v>
      </c>
      <c r="F40" s="1">
        <v>0</v>
      </c>
      <c r="G40" s="3">
        <v>5997568</v>
      </c>
      <c r="H40" s="1">
        <v>0</v>
      </c>
      <c r="I40" s="1">
        <v>0</v>
      </c>
      <c r="J40" s="1">
        <v>2998784</v>
      </c>
      <c r="K40" s="1">
        <v>0</v>
      </c>
      <c r="L40" s="1">
        <v>93</v>
      </c>
      <c r="M40" s="1">
        <v>21.99689</v>
      </c>
      <c r="N40" s="1">
        <v>0.6866451589673761</v>
      </c>
    </row>
    <row r="41" spans="1:14" x14ac:dyDescent="0.25">
      <c r="A41" s="1" t="s">
        <v>53</v>
      </c>
      <c r="B41" s="1">
        <v>23.209800000000001</v>
      </c>
      <c r="C41" s="1">
        <v>4.86836E-2</v>
      </c>
      <c r="D41" s="2">
        <v>3.8080999999999997E-2</v>
      </c>
      <c r="E41" s="2">
        <v>8.2599400000000003E-3</v>
      </c>
      <c r="F41" s="1">
        <v>0</v>
      </c>
      <c r="G41" s="3">
        <v>6161408</v>
      </c>
      <c r="H41" s="1">
        <v>0</v>
      </c>
      <c r="I41" s="1">
        <v>0</v>
      </c>
      <c r="J41" s="1">
        <v>3080704</v>
      </c>
      <c r="K41" s="1">
        <v>0</v>
      </c>
      <c r="L41" s="1">
        <v>94</v>
      </c>
      <c r="M41" s="1">
        <v>21.16947</v>
      </c>
      <c r="N41" s="1">
        <v>0.77992448217047849</v>
      </c>
    </row>
    <row r="42" spans="1:14" x14ac:dyDescent="0.25">
      <c r="A42" s="1" t="s">
        <v>54</v>
      </c>
      <c r="B42" s="1">
        <v>14.162699999999999</v>
      </c>
      <c r="C42" s="1">
        <v>8.6810499999999999E-2</v>
      </c>
      <c r="D42" s="2">
        <v>6.5252299999999999E-2</v>
      </c>
      <c r="E42" s="2">
        <v>1.39858E-2</v>
      </c>
      <c r="F42" s="1">
        <v>0</v>
      </c>
      <c r="G42" s="3">
        <v>10470400</v>
      </c>
      <c r="H42" s="1">
        <v>0</v>
      </c>
      <c r="I42" s="1">
        <v>0</v>
      </c>
      <c r="J42" s="1">
        <v>5235200</v>
      </c>
      <c r="K42" s="1">
        <v>0</v>
      </c>
      <c r="L42" s="1">
        <v>112</v>
      </c>
      <c r="M42" s="1">
        <v>12.209339999999999</v>
      </c>
      <c r="N42" s="1">
        <v>0.75140362906880986</v>
      </c>
    </row>
    <row r="43" spans="1:14" x14ac:dyDescent="0.25">
      <c r="A43" s="1"/>
      <c r="B43" s="1"/>
      <c r="C43" s="1"/>
      <c r="D43" s="1"/>
      <c r="E43" s="1"/>
      <c r="F43" s="1"/>
      <c r="G43" s="1"/>
      <c r="H43" s="1"/>
      <c r="I43" s="1"/>
      <c r="J43" s="1"/>
      <c r="K43" s="1"/>
      <c r="L43" s="1"/>
      <c r="M43" s="1"/>
      <c r="N43" s="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064AC-DDE6-4C87-B91E-612F276BD5F9}">
  <dimension ref="A1:P42"/>
  <sheetViews>
    <sheetView topLeftCell="A7" workbookViewId="0">
      <selection activeCell="P2" sqref="P2"/>
    </sheetView>
  </sheetViews>
  <sheetFormatPr defaultRowHeight="15" x14ac:dyDescent="0.25"/>
  <cols>
    <col min="1" max="1" width="39.85546875" bestFit="1" customWidth="1"/>
    <col min="2" max="2" width="8" bestFit="1" customWidth="1"/>
    <col min="3" max="3" width="12" bestFit="1" customWidth="1"/>
    <col min="4" max="5" width="7" bestFit="1" customWidth="1"/>
    <col min="6" max="6" width="12.85546875" bestFit="1" customWidth="1"/>
    <col min="7" max="7" width="10.5703125" bestFit="1" customWidth="1"/>
    <col min="8" max="8" width="16.5703125" bestFit="1" customWidth="1"/>
    <col min="9" max="9" width="15.5703125" bestFit="1" customWidth="1"/>
    <col min="10" max="10" width="12.7109375" bestFit="1" customWidth="1"/>
    <col min="11" max="11" width="10.42578125" bestFit="1" customWidth="1"/>
    <col min="12" max="12" width="10" bestFit="1" customWidth="1"/>
    <col min="13" max="13" width="9" bestFit="1" customWidth="1"/>
    <col min="14" max="14" width="12" bestFit="1" customWidth="1"/>
    <col min="16" max="16" width="12" bestFit="1" customWidth="1"/>
  </cols>
  <sheetData>
    <row r="1" spans="1:16" x14ac:dyDescent="0.25">
      <c r="A1" s="4" t="s">
        <v>0</v>
      </c>
      <c r="B1" s="5" t="s">
        <v>1</v>
      </c>
      <c r="C1" s="5" t="s">
        <v>2</v>
      </c>
      <c r="D1" s="5" t="s">
        <v>3</v>
      </c>
      <c r="E1" s="5" t="s">
        <v>4</v>
      </c>
      <c r="F1" s="5" t="s">
        <v>5</v>
      </c>
      <c r="G1" s="5" t="s">
        <v>6</v>
      </c>
      <c r="H1" s="5" t="s">
        <v>7</v>
      </c>
      <c r="I1" s="5" t="s">
        <v>8</v>
      </c>
      <c r="J1" s="5" t="s">
        <v>9</v>
      </c>
      <c r="K1" s="5" t="s">
        <v>10</v>
      </c>
      <c r="L1" s="5" t="s">
        <v>11</v>
      </c>
      <c r="M1" s="5" t="s">
        <v>12</v>
      </c>
      <c r="N1" s="6" t="s">
        <v>13</v>
      </c>
    </row>
    <row r="2" spans="1:16" x14ac:dyDescent="0.25">
      <c r="A2" s="7" t="s">
        <v>14</v>
      </c>
      <c r="B2" s="2">
        <v>6971.45</v>
      </c>
      <c r="C2" s="2">
        <v>1.8787099999999999E-4</v>
      </c>
      <c r="D2" s="1">
        <v>0</v>
      </c>
      <c r="E2" s="1">
        <v>0</v>
      </c>
      <c r="F2" s="1">
        <v>0</v>
      </c>
      <c r="G2" s="8">
        <v>32</v>
      </c>
      <c r="H2" s="1">
        <v>0</v>
      </c>
      <c r="I2" s="1">
        <v>0</v>
      </c>
      <c r="J2" s="1">
        <v>16</v>
      </c>
      <c r="K2" s="1">
        <v>0</v>
      </c>
      <c r="L2" s="1">
        <v>4</v>
      </c>
      <c r="M2" s="1">
        <v>5979.3429999999998</v>
      </c>
      <c r="N2" s="14">
        <v>602.01113631356975</v>
      </c>
      <c r="P2">
        <f>perfdataPerformanceSummary__3[[#This Row],[cpums]]/perfdataPerformanceSummary__3[[#This Row],[loadedp]]</f>
        <v>5.8709687499999997E-6</v>
      </c>
    </row>
    <row r="3" spans="1:16" x14ac:dyDescent="0.25">
      <c r="A3" s="7" t="s">
        <v>15</v>
      </c>
      <c r="B3" s="2">
        <v>7723.34</v>
      </c>
      <c r="C3" s="2">
        <v>1.4552E-4</v>
      </c>
      <c r="D3" s="1">
        <v>0</v>
      </c>
      <c r="E3" s="1">
        <v>0</v>
      </c>
      <c r="F3" s="1">
        <v>0</v>
      </c>
      <c r="G3" s="8">
        <v>1024</v>
      </c>
      <c r="H3" s="1">
        <v>0</v>
      </c>
      <c r="I3" s="1">
        <v>0</v>
      </c>
      <c r="J3" s="1">
        <v>512</v>
      </c>
      <c r="K3" s="1">
        <v>0</v>
      </c>
      <c r="L3" s="1">
        <v>8</v>
      </c>
      <c r="M3" s="1">
        <v>7325.4409999999998</v>
      </c>
      <c r="N3" s="14">
        <v>278.59831643624682</v>
      </c>
      <c r="P3">
        <f>perfdataPerformanceSummary__3[[#This Row],[cpums]]/perfdataPerformanceSummary__3[[#This Row],[loadedp]]</f>
        <v>1.42109375E-7</v>
      </c>
    </row>
    <row r="4" spans="1:16" x14ac:dyDescent="0.25">
      <c r="A4" s="7" t="s">
        <v>16</v>
      </c>
      <c r="B4" s="2">
        <v>1088.92</v>
      </c>
      <c r="C4" s="2">
        <v>9.6341099999999995E-4</v>
      </c>
      <c r="D4" s="1">
        <v>0</v>
      </c>
      <c r="E4" s="1">
        <v>0</v>
      </c>
      <c r="F4" s="1">
        <v>0</v>
      </c>
      <c r="G4" s="8">
        <v>148480</v>
      </c>
      <c r="H4" s="1">
        <v>0</v>
      </c>
      <c r="I4" s="1">
        <v>0</v>
      </c>
      <c r="J4" s="1">
        <v>74240</v>
      </c>
      <c r="K4" s="1">
        <v>0</v>
      </c>
      <c r="L4" s="1">
        <v>29</v>
      </c>
      <c r="M4" s="1">
        <v>1070.2529999999999</v>
      </c>
      <c r="N4" s="14">
        <v>16.800414049130509</v>
      </c>
      <c r="P4">
        <f>perfdataPerformanceSummary__3[[#This Row],[cpums]]/perfdataPerformanceSummary__3[[#This Row],[loadedp]]</f>
        <v>6.4884900323275863E-9</v>
      </c>
    </row>
    <row r="5" spans="1:16" x14ac:dyDescent="0.25">
      <c r="A5" s="7" t="s">
        <v>17</v>
      </c>
      <c r="B5" s="2">
        <v>509.303</v>
      </c>
      <c r="C5" s="2">
        <v>2.0434799999999999E-3</v>
      </c>
      <c r="D5" s="1">
        <v>0</v>
      </c>
      <c r="E5" s="1">
        <v>0</v>
      </c>
      <c r="F5" s="1">
        <v>0</v>
      </c>
      <c r="G5" s="8">
        <v>312320</v>
      </c>
      <c r="H5" s="1">
        <v>0</v>
      </c>
      <c r="I5" s="1">
        <v>0</v>
      </c>
      <c r="J5" s="1">
        <v>156160</v>
      </c>
      <c r="K5" s="1">
        <v>0</v>
      </c>
      <c r="L5" s="1">
        <v>36</v>
      </c>
      <c r="M5" s="1">
        <v>502.74489999999997</v>
      </c>
      <c r="N5" s="14">
        <v>6.3957551973511668</v>
      </c>
      <c r="P5">
        <f>perfdataPerformanceSummary__3[[#This Row],[cpums]]/perfdataPerformanceSummary__3[[#This Row],[loadedp]]</f>
        <v>6.5429047131147539E-9</v>
      </c>
    </row>
    <row r="6" spans="1:16" x14ac:dyDescent="0.25">
      <c r="A6" s="7" t="s">
        <v>18</v>
      </c>
      <c r="B6" s="2">
        <v>332.07600000000002</v>
      </c>
      <c r="C6" s="2">
        <v>3.0853500000000002E-3</v>
      </c>
      <c r="D6" s="1">
        <v>0</v>
      </c>
      <c r="E6" s="1">
        <v>0</v>
      </c>
      <c r="F6" s="1">
        <v>0</v>
      </c>
      <c r="G6" s="8">
        <v>459776</v>
      </c>
      <c r="H6" s="1">
        <v>0</v>
      </c>
      <c r="I6" s="1">
        <v>0</v>
      </c>
      <c r="J6" s="1">
        <v>229888</v>
      </c>
      <c r="K6" s="1">
        <v>0</v>
      </c>
      <c r="L6" s="1">
        <v>41</v>
      </c>
      <c r="M6" s="1">
        <v>329.3202</v>
      </c>
      <c r="N6" s="14">
        <v>2.4240330855827854</v>
      </c>
      <c r="P6">
        <f>perfdataPerformanceSummary__3[[#This Row],[cpums]]/perfdataPerformanceSummary__3[[#This Row],[loadedp]]</f>
        <v>6.7105503549554565E-9</v>
      </c>
    </row>
    <row r="7" spans="1:16" x14ac:dyDescent="0.25">
      <c r="A7" s="7" t="s">
        <v>19</v>
      </c>
      <c r="B7" s="2">
        <v>234.60599999999999</v>
      </c>
      <c r="C7" s="2">
        <v>4.3755599999999997E-3</v>
      </c>
      <c r="D7" s="1">
        <v>0</v>
      </c>
      <c r="E7" s="1">
        <v>0</v>
      </c>
      <c r="F7" s="1">
        <v>0</v>
      </c>
      <c r="G7" s="8">
        <v>623616</v>
      </c>
      <c r="H7" s="1">
        <v>0</v>
      </c>
      <c r="I7" s="1">
        <v>0</v>
      </c>
      <c r="J7" s="1">
        <v>311808</v>
      </c>
      <c r="K7" s="1">
        <v>0</v>
      </c>
      <c r="L7" s="1">
        <v>45</v>
      </c>
      <c r="M7" s="1">
        <v>232.6036</v>
      </c>
      <c r="N7" s="14">
        <v>1.6401755461602929</v>
      </c>
      <c r="P7">
        <f>perfdataPerformanceSummary__3[[#This Row],[cpums]]/perfdataPerformanceSummary__3[[#This Row],[loadedp]]</f>
        <v>7.0164331896551723E-9</v>
      </c>
    </row>
    <row r="8" spans="1:16" x14ac:dyDescent="0.25">
      <c r="A8" s="7" t="s">
        <v>20</v>
      </c>
      <c r="B8" s="2">
        <v>179.28</v>
      </c>
      <c r="C8" s="2">
        <v>5.6331899999999997E-3</v>
      </c>
      <c r="D8" s="1">
        <v>0</v>
      </c>
      <c r="E8" s="1">
        <v>0</v>
      </c>
      <c r="F8" s="1">
        <v>0</v>
      </c>
      <c r="G8" s="8">
        <v>787456</v>
      </c>
      <c r="H8" s="1">
        <v>0</v>
      </c>
      <c r="I8" s="1">
        <v>0</v>
      </c>
      <c r="J8" s="1">
        <v>393728</v>
      </c>
      <c r="K8" s="1">
        <v>0</v>
      </c>
      <c r="L8" s="1">
        <v>49</v>
      </c>
      <c r="M8" s="1">
        <v>178.23439999999999</v>
      </c>
      <c r="N8" s="14">
        <v>0.72966570732387204</v>
      </c>
      <c r="P8">
        <f>perfdataPerformanceSummary__3[[#This Row],[cpums]]/perfdataPerformanceSummary__3[[#This Row],[loadedp]]</f>
        <v>7.1536568392392716E-9</v>
      </c>
    </row>
    <row r="9" spans="1:16" x14ac:dyDescent="0.25">
      <c r="A9" s="7" t="s">
        <v>21</v>
      </c>
      <c r="B9" s="2">
        <v>143.965</v>
      </c>
      <c r="C9" s="2">
        <v>7.0047399999999998E-3</v>
      </c>
      <c r="D9" s="1">
        <v>0</v>
      </c>
      <c r="E9" s="1">
        <v>0</v>
      </c>
      <c r="F9" s="1">
        <v>0</v>
      </c>
      <c r="G9" s="8">
        <v>934912</v>
      </c>
      <c r="H9" s="1">
        <v>0</v>
      </c>
      <c r="I9" s="1">
        <v>0</v>
      </c>
      <c r="J9" s="1">
        <v>467456</v>
      </c>
      <c r="K9" s="1">
        <v>0</v>
      </c>
      <c r="L9" s="1">
        <v>51</v>
      </c>
      <c r="M9" s="1">
        <v>143.3237</v>
      </c>
      <c r="N9" s="14">
        <v>0.47217041415149946</v>
      </c>
      <c r="P9">
        <f>perfdataPerformanceSummary__3[[#This Row],[cpums]]/perfdataPerformanceSummary__3[[#This Row],[loadedp]]</f>
        <v>7.4924057023548745E-9</v>
      </c>
    </row>
    <row r="10" spans="1:16" x14ac:dyDescent="0.25">
      <c r="A10" s="7" t="s">
        <v>22</v>
      </c>
      <c r="B10" s="2">
        <v>125.074</v>
      </c>
      <c r="C10" s="2">
        <v>8.1317300000000002E-3</v>
      </c>
      <c r="D10" s="1">
        <v>0</v>
      </c>
      <c r="E10" s="1">
        <v>0</v>
      </c>
      <c r="F10" s="1">
        <v>0</v>
      </c>
      <c r="G10" s="8">
        <v>1098752</v>
      </c>
      <c r="H10" s="1">
        <v>0</v>
      </c>
      <c r="I10" s="1">
        <v>0</v>
      </c>
      <c r="J10" s="1">
        <v>549376</v>
      </c>
      <c r="K10" s="1">
        <v>0</v>
      </c>
      <c r="L10" s="1">
        <v>54</v>
      </c>
      <c r="M10" s="1">
        <v>123.6358</v>
      </c>
      <c r="N10" s="14">
        <v>0.65050045691332592</v>
      </c>
      <c r="P10">
        <f>perfdataPerformanceSummary__3[[#This Row],[cpums]]/perfdataPerformanceSummary__3[[#This Row],[loadedp]]</f>
        <v>7.4008784511882571E-9</v>
      </c>
    </row>
    <row r="11" spans="1:16" x14ac:dyDescent="0.25">
      <c r="A11" s="7" t="s">
        <v>23</v>
      </c>
      <c r="B11" s="2">
        <v>108.25</v>
      </c>
      <c r="C11" s="2">
        <v>9.4158100000000002E-3</v>
      </c>
      <c r="D11" s="1">
        <v>0</v>
      </c>
      <c r="E11" s="1">
        <v>0</v>
      </c>
      <c r="F11" s="1">
        <v>0</v>
      </c>
      <c r="G11" s="8">
        <v>1262592</v>
      </c>
      <c r="H11" s="1">
        <v>0</v>
      </c>
      <c r="I11" s="1">
        <v>0</v>
      </c>
      <c r="J11" s="1">
        <v>631296</v>
      </c>
      <c r="K11" s="1">
        <v>0</v>
      </c>
      <c r="L11" s="1">
        <v>57</v>
      </c>
      <c r="M11" s="1">
        <v>107.37090000000001</v>
      </c>
      <c r="N11" s="14">
        <v>0.52064734279121905</v>
      </c>
      <c r="P11">
        <f>perfdataPerformanceSummary__3[[#This Row],[cpums]]/perfdataPerformanceSummary__3[[#This Row],[loadedp]]</f>
        <v>7.4575238873682077E-9</v>
      </c>
    </row>
    <row r="12" spans="1:16" x14ac:dyDescent="0.25">
      <c r="A12" s="7" t="s">
        <v>24</v>
      </c>
      <c r="B12" s="2">
        <v>96.094899999999996</v>
      </c>
      <c r="C12" s="2">
        <v>1.06441E-2</v>
      </c>
      <c r="D12" s="1">
        <v>0</v>
      </c>
      <c r="E12" s="1">
        <v>0</v>
      </c>
      <c r="F12" s="1">
        <v>0</v>
      </c>
      <c r="G12" s="8">
        <v>1426432</v>
      </c>
      <c r="H12" s="1">
        <v>0</v>
      </c>
      <c r="I12" s="1">
        <v>0</v>
      </c>
      <c r="J12" s="1">
        <v>713216</v>
      </c>
      <c r="K12" s="1">
        <v>0</v>
      </c>
      <c r="L12" s="1">
        <v>59</v>
      </c>
      <c r="M12" s="1">
        <v>95.378630000000001</v>
      </c>
      <c r="N12" s="14">
        <v>0.58577037224495954</v>
      </c>
      <c r="P12">
        <f>perfdataPerformanceSummary__3[[#This Row],[cpums]]/perfdataPerformanceSummary__3[[#This Row],[loadedp]]</f>
        <v>7.4620451588298631E-9</v>
      </c>
    </row>
    <row r="13" spans="1:16" x14ac:dyDescent="0.25">
      <c r="A13" s="7" t="s">
        <v>25</v>
      </c>
      <c r="B13" s="2">
        <v>86.180800000000005</v>
      </c>
      <c r="C13" s="2">
        <v>1.20076E-2</v>
      </c>
      <c r="D13" s="1">
        <v>0</v>
      </c>
      <c r="E13" s="1">
        <v>0</v>
      </c>
      <c r="F13" s="1">
        <v>0</v>
      </c>
      <c r="G13" s="8">
        <v>1590272</v>
      </c>
      <c r="H13" s="1">
        <v>0</v>
      </c>
      <c r="I13" s="1">
        <v>0</v>
      </c>
      <c r="J13" s="1">
        <v>795136</v>
      </c>
      <c r="K13" s="1">
        <v>0</v>
      </c>
      <c r="L13" s="1">
        <v>61</v>
      </c>
      <c r="M13" s="1">
        <v>84.378280000000004</v>
      </c>
      <c r="N13" s="14">
        <v>0.75971156778228788</v>
      </c>
      <c r="P13">
        <f>perfdataPerformanceSummary__3[[#This Row],[cpums]]/perfdataPerformanceSummary__3[[#This Row],[loadedp]]</f>
        <v>7.5506580006439149E-9</v>
      </c>
    </row>
    <row r="14" spans="1:16" x14ac:dyDescent="0.25">
      <c r="A14" s="7" t="s">
        <v>26</v>
      </c>
      <c r="B14" s="2">
        <v>77.333600000000004</v>
      </c>
      <c r="C14" s="2">
        <v>1.3389099999999999E-2</v>
      </c>
      <c r="D14" s="1">
        <v>0</v>
      </c>
      <c r="E14" s="1">
        <v>0</v>
      </c>
      <c r="F14" s="1">
        <v>0</v>
      </c>
      <c r="G14" s="8">
        <v>1754112</v>
      </c>
      <c r="H14" s="1">
        <v>0</v>
      </c>
      <c r="I14" s="1">
        <v>0</v>
      </c>
      <c r="J14" s="1">
        <v>877056</v>
      </c>
      <c r="K14" s="1">
        <v>0</v>
      </c>
      <c r="L14" s="1">
        <v>63</v>
      </c>
      <c r="M14" s="1">
        <v>75.511089999999996</v>
      </c>
      <c r="N14" s="14">
        <v>0.72328185907477727</v>
      </c>
      <c r="P14">
        <f>perfdataPerformanceSummary__3[[#This Row],[cpums]]/perfdataPerformanceSummary__3[[#This Row],[loadedp]]</f>
        <v>7.6329789659953291E-9</v>
      </c>
    </row>
    <row r="15" spans="1:16" x14ac:dyDescent="0.25">
      <c r="A15" s="7" t="s">
        <v>27</v>
      </c>
      <c r="B15" s="2">
        <v>71.777900000000002</v>
      </c>
      <c r="C15" s="2">
        <v>1.44396E-2</v>
      </c>
      <c r="D15" s="1">
        <v>0</v>
      </c>
      <c r="E15" s="1">
        <v>0</v>
      </c>
      <c r="F15" s="1">
        <v>0</v>
      </c>
      <c r="G15" s="8">
        <v>1917952</v>
      </c>
      <c r="H15" s="1">
        <v>0</v>
      </c>
      <c r="I15" s="1">
        <v>0</v>
      </c>
      <c r="J15" s="1">
        <v>958976</v>
      </c>
      <c r="K15" s="1">
        <v>0</v>
      </c>
      <c r="L15" s="1">
        <v>65</v>
      </c>
      <c r="M15" s="1">
        <v>70.019710000000003</v>
      </c>
      <c r="N15" s="14">
        <v>0.68333548690717738</v>
      </c>
      <c r="P15">
        <f>perfdataPerformanceSummary__3[[#This Row],[cpums]]/perfdataPerformanceSummary__3[[#This Row],[loadedp]]</f>
        <v>7.5286555659370003E-9</v>
      </c>
    </row>
    <row r="16" spans="1:16" x14ac:dyDescent="0.25">
      <c r="A16" s="7" t="s">
        <v>28</v>
      </c>
      <c r="B16" s="2">
        <v>66.652000000000001</v>
      </c>
      <c r="C16" s="2">
        <v>1.56835E-2</v>
      </c>
      <c r="D16" s="1">
        <v>0</v>
      </c>
      <c r="E16" s="1">
        <v>0</v>
      </c>
      <c r="F16" s="1">
        <v>0</v>
      </c>
      <c r="G16" s="8">
        <v>2081792</v>
      </c>
      <c r="H16" s="1">
        <v>0</v>
      </c>
      <c r="I16" s="1">
        <v>0</v>
      </c>
      <c r="J16" s="1">
        <v>1040896</v>
      </c>
      <c r="K16" s="1">
        <v>0</v>
      </c>
      <c r="L16" s="1">
        <v>66</v>
      </c>
      <c r="M16" s="1">
        <v>64.607680000000002</v>
      </c>
      <c r="N16" s="14">
        <v>0.82177867093275214</v>
      </c>
      <c r="P16">
        <f>perfdataPerformanceSummary__3[[#This Row],[cpums]]/perfdataPerformanceSummary__3[[#This Row],[loadedp]]</f>
        <v>7.5336536983521887E-9</v>
      </c>
    </row>
    <row r="17" spans="1:16" x14ac:dyDescent="0.25">
      <c r="A17" s="7" t="s">
        <v>29</v>
      </c>
      <c r="B17" s="2">
        <v>61.531599999999997</v>
      </c>
      <c r="C17" s="2">
        <v>1.7029300000000001E-2</v>
      </c>
      <c r="D17" s="1">
        <v>0</v>
      </c>
      <c r="E17" s="1">
        <v>0</v>
      </c>
      <c r="F17" s="1">
        <v>0</v>
      </c>
      <c r="G17" s="8">
        <v>2245632</v>
      </c>
      <c r="H17" s="1">
        <v>0</v>
      </c>
      <c r="I17" s="1">
        <v>0</v>
      </c>
      <c r="J17" s="1">
        <v>1122816</v>
      </c>
      <c r="K17" s="1">
        <v>0</v>
      </c>
      <c r="L17" s="1">
        <v>68</v>
      </c>
      <c r="M17" s="1">
        <v>59.561970000000002</v>
      </c>
      <c r="N17" s="14">
        <v>0.73847946793093355</v>
      </c>
      <c r="P17">
        <f>perfdataPerformanceSummary__3[[#This Row],[cpums]]/perfdataPerformanceSummary__3[[#This Row],[loadedp]]</f>
        <v>7.5832994898540809E-9</v>
      </c>
    </row>
    <row r="18" spans="1:16" x14ac:dyDescent="0.25">
      <c r="A18" s="7" t="s">
        <v>30</v>
      </c>
      <c r="B18" s="2">
        <v>57.393000000000001</v>
      </c>
      <c r="C18" s="2">
        <v>1.8275099999999999E-2</v>
      </c>
      <c r="D18" s="1">
        <v>0</v>
      </c>
      <c r="E18" s="1">
        <v>0</v>
      </c>
      <c r="F18" s="1">
        <v>0</v>
      </c>
      <c r="G18" s="8">
        <v>2409472</v>
      </c>
      <c r="H18" s="1">
        <v>0</v>
      </c>
      <c r="I18" s="1">
        <v>0</v>
      </c>
      <c r="J18" s="1">
        <v>1204736</v>
      </c>
      <c r="K18" s="1">
        <v>0</v>
      </c>
      <c r="L18" s="1">
        <v>70</v>
      </c>
      <c r="M18" s="1">
        <v>55.124369999999999</v>
      </c>
      <c r="N18" s="14">
        <v>0.8044880084045174</v>
      </c>
      <c r="P18">
        <f>perfdataPerformanceSummary__3[[#This Row],[cpums]]/perfdataPerformanceSummary__3[[#This Row],[loadedp]]</f>
        <v>7.5846907538249043E-9</v>
      </c>
    </row>
    <row r="19" spans="1:16" x14ac:dyDescent="0.25">
      <c r="A19" s="7" t="s">
        <v>31</v>
      </c>
      <c r="B19" s="2">
        <v>51.138199999999998</v>
      </c>
      <c r="C19" s="2">
        <v>1.9945000000000001E-2</v>
      </c>
      <c r="D19" s="1">
        <v>0</v>
      </c>
      <c r="E19" s="1">
        <v>0</v>
      </c>
      <c r="F19" s="1">
        <v>0</v>
      </c>
      <c r="G19" s="8">
        <v>2573312</v>
      </c>
      <c r="H19" s="1">
        <v>0</v>
      </c>
      <c r="I19" s="1">
        <v>0</v>
      </c>
      <c r="J19" s="1">
        <v>1286656</v>
      </c>
      <c r="K19" s="1">
        <v>0</v>
      </c>
      <c r="L19" s="1">
        <v>71</v>
      </c>
      <c r="M19" s="1">
        <v>50.662379999999999</v>
      </c>
      <c r="N19" s="14">
        <v>0.35743938040829548</v>
      </c>
      <c r="P19">
        <f>perfdataPerformanceSummary__3[[#This Row],[cpums]]/perfdataPerformanceSummary__3[[#This Row],[loadedp]]</f>
        <v>7.750711923000399E-9</v>
      </c>
    </row>
    <row r="20" spans="1:16" x14ac:dyDescent="0.25">
      <c r="A20" s="7" t="s">
        <v>32</v>
      </c>
      <c r="B20" s="2">
        <v>50.536900000000003</v>
      </c>
      <c r="C20" s="2">
        <v>2.0963699999999998E-2</v>
      </c>
      <c r="D20" s="1">
        <v>0</v>
      </c>
      <c r="E20" s="1">
        <v>0</v>
      </c>
      <c r="F20" s="1">
        <v>0</v>
      </c>
      <c r="G20" s="8">
        <v>2737152</v>
      </c>
      <c r="H20" s="1">
        <v>0</v>
      </c>
      <c r="I20" s="1">
        <v>0</v>
      </c>
      <c r="J20" s="1">
        <v>1368576</v>
      </c>
      <c r="K20" s="1">
        <v>0</v>
      </c>
      <c r="L20" s="1">
        <v>72</v>
      </c>
      <c r="M20" s="1">
        <v>48.35116</v>
      </c>
      <c r="N20" s="14">
        <v>0.82177429748076281</v>
      </c>
      <c r="P20">
        <f>perfdataPerformanceSummary__3[[#This Row],[cpums]]/perfdataPerformanceSummary__3[[#This Row],[loadedp]]</f>
        <v>7.6589462331649831E-9</v>
      </c>
    </row>
    <row r="21" spans="1:16" x14ac:dyDescent="0.25">
      <c r="A21" s="7" t="s">
        <v>33</v>
      </c>
      <c r="B21" s="2">
        <v>46.749600000000001</v>
      </c>
      <c r="C21" s="2">
        <v>2.2091199999999998E-2</v>
      </c>
      <c r="D21" s="1">
        <v>0</v>
      </c>
      <c r="E21" s="1">
        <v>0</v>
      </c>
      <c r="F21" s="1">
        <v>0</v>
      </c>
      <c r="G21" s="8">
        <v>2900992</v>
      </c>
      <c r="H21" s="1">
        <v>0</v>
      </c>
      <c r="I21" s="1">
        <v>0</v>
      </c>
      <c r="J21" s="1">
        <v>1450496</v>
      </c>
      <c r="K21" s="1">
        <v>0</v>
      </c>
      <c r="L21" s="1">
        <v>74</v>
      </c>
      <c r="M21" s="1">
        <v>45.721940000000004</v>
      </c>
      <c r="N21" s="14">
        <v>0.42265746887994293</v>
      </c>
      <c r="P21">
        <f>perfdataPerformanceSummary__3[[#This Row],[cpums]]/perfdataPerformanceSummary__3[[#This Row],[loadedp]]</f>
        <v>7.6150503000352976E-9</v>
      </c>
    </row>
    <row r="22" spans="1:16" x14ac:dyDescent="0.25">
      <c r="A22" s="7" t="s">
        <v>34</v>
      </c>
      <c r="B22" s="2">
        <v>45.139499999999998</v>
      </c>
      <c r="C22" s="2">
        <v>2.3648700000000002E-2</v>
      </c>
      <c r="D22" s="1">
        <v>0</v>
      </c>
      <c r="E22" s="1">
        <v>0</v>
      </c>
      <c r="F22" s="1">
        <v>0</v>
      </c>
      <c r="G22" s="8">
        <v>3064832</v>
      </c>
      <c r="H22" s="1">
        <v>0</v>
      </c>
      <c r="I22" s="1">
        <v>0</v>
      </c>
      <c r="J22" s="1">
        <v>1532416</v>
      </c>
      <c r="K22" s="1">
        <v>0</v>
      </c>
      <c r="L22" s="1">
        <v>75</v>
      </c>
      <c r="M22" s="1">
        <v>42.949530000000003</v>
      </c>
      <c r="N22" s="14">
        <v>0.82628644891869385</v>
      </c>
      <c r="P22">
        <f>perfdataPerformanceSummary__3[[#This Row],[cpums]]/perfdataPerformanceSummary__3[[#This Row],[loadedp]]</f>
        <v>7.7161488786334787E-9</v>
      </c>
    </row>
    <row r="23" spans="1:16" x14ac:dyDescent="0.25">
      <c r="A23" s="7" t="s">
        <v>35</v>
      </c>
      <c r="B23" s="2">
        <v>42.938099999999999</v>
      </c>
      <c r="C23" s="2">
        <v>2.4920899999999999E-2</v>
      </c>
      <c r="D23" s="1">
        <v>0</v>
      </c>
      <c r="E23" s="1">
        <v>0</v>
      </c>
      <c r="F23" s="1">
        <v>0</v>
      </c>
      <c r="G23" s="8">
        <v>3228672</v>
      </c>
      <c r="H23" s="1">
        <v>0</v>
      </c>
      <c r="I23" s="1">
        <v>0</v>
      </c>
      <c r="J23" s="1">
        <v>1614336</v>
      </c>
      <c r="K23" s="1">
        <v>0</v>
      </c>
      <c r="L23" s="1">
        <v>76</v>
      </c>
      <c r="M23" s="1">
        <v>40.918930000000003</v>
      </c>
      <c r="N23" s="14">
        <v>0.79989702677559926</v>
      </c>
      <c r="P23">
        <f>perfdataPerformanceSummary__3[[#This Row],[cpums]]/perfdataPerformanceSummary__3[[#This Row],[loadedp]]</f>
        <v>7.7186223933555343E-9</v>
      </c>
    </row>
    <row r="24" spans="1:16" x14ac:dyDescent="0.25">
      <c r="A24" s="7" t="s">
        <v>36</v>
      </c>
      <c r="B24" s="2">
        <v>40.8262</v>
      </c>
      <c r="C24" s="2">
        <v>2.61681E-2</v>
      </c>
      <c r="D24" s="1">
        <v>0</v>
      </c>
      <c r="E24" s="1">
        <v>0</v>
      </c>
      <c r="F24" s="1">
        <v>0</v>
      </c>
      <c r="G24" s="8">
        <v>3392512</v>
      </c>
      <c r="H24" s="1">
        <v>0</v>
      </c>
      <c r="I24" s="1">
        <v>0</v>
      </c>
      <c r="J24" s="1">
        <v>1696256</v>
      </c>
      <c r="K24" s="1">
        <v>0</v>
      </c>
      <c r="L24" s="1">
        <v>78</v>
      </c>
      <c r="M24" s="1">
        <v>38.928049999999999</v>
      </c>
      <c r="N24" s="14">
        <v>0.7338015266784037</v>
      </c>
      <c r="P24">
        <f>perfdataPerformanceSummary__3[[#This Row],[cpums]]/perfdataPerformanceSummary__3[[#This Row],[loadedp]]</f>
        <v>7.7134878225928165E-9</v>
      </c>
    </row>
    <row r="25" spans="1:16" x14ac:dyDescent="0.25">
      <c r="A25" s="7" t="s">
        <v>37</v>
      </c>
      <c r="B25" s="2">
        <v>39.431100000000001</v>
      </c>
      <c r="C25" s="2">
        <v>2.7278400000000001E-2</v>
      </c>
      <c r="D25" s="1">
        <v>0</v>
      </c>
      <c r="E25" s="1">
        <v>0</v>
      </c>
      <c r="F25" s="1">
        <v>0</v>
      </c>
      <c r="G25" s="8">
        <v>3539968</v>
      </c>
      <c r="H25" s="1">
        <v>0</v>
      </c>
      <c r="I25" s="1">
        <v>0</v>
      </c>
      <c r="J25" s="1">
        <v>1769984</v>
      </c>
      <c r="K25" s="1">
        <v>0</v>
      </c>
      <c r="L25" s="1">
        <v>79</v>
      </c>
      <c r="M25" s="1">
        <v>37.501919999999998</v>
      </c>
      <c r="N25" s="14">
        <v>0.76723634457997714</v>
      </c>
      <c r="P25">
        <f>perfdataPerformanceSummary__3[[#This Row],[cpums]]/perfdataPerformanceSummary__3[[#This Row],[loadedp]]</f>
        <v>7.7058323691061615E-9</v>
      </c>
    </row>
    <row r="26" spans="1:16" x14ac:dyDescent="0.25">
      <c r="A26" s="7" t="s">
        <v>38</v>
      </c>
      <c r="B26" s="2">
        <v>37.844299999999997</v>
      </c>
      <c r="C26" s="2">
        <v>2.8457300000000001E-2</v>
      </c>
      <c r="D26" s="1">
        <v>0</v>
      </c>
      <c r="E26" s="1">
        <v>0</v>
      </c>
      <c r="F26" s="1">
        <v>0</v>
      </c>
      <c r="G26" s="8">
        <v>3703808</v>
      </c>
      <c r="H26" s="1">
        <v>0</v>
      </c>
      <c r="I26" s="1">
        <v>0</v>
      </c>
      <c r="J26" s="1">
        <v>1851904</v>
      </c>
      <c r="K26" s="1">
        <v>0</v>
      </c>
      <c r="L26" s="1">
        <v>80</v>
      </c>
      <c r="M26" s="1">
        <v>35.841049999999996</v>
      </c>
      <c r="N26" s="14">
        <v>0.75999768749648089</v>
      </c>
      <c r="P26">
        <f>perfdataPerformanceSummary__3[[#This Row],[cpums]]/perfdataPerformanceSummary__3[[#This Row],[loadedp]]</f>
        <v>7.6832546395493498E-9</v>
      </c>
    </row>
    <row r="27" spans="1:16" x14ac:dyDescent="0.25">
      <c r="A27" s="7" t="s">
        <v>39</v>
      </c>
      <c r="B27" s="2">
        <v>36.227600000000002</v>
      </c>
      <c r="C27" s="2">
        <v>2.97275E-2</v>
      </c>
      <c r="D27" s="1">
        <v>0</v>
      </c>
      <c r="E27" s="1">
        <v>0</v>
      </c>
      <c r="F27" s="1">
        <v>0</v>
      </c>
      <c r="G27" s="8">
        <v>3867648</v>
      </c>
      <c r="H27" s="1">
        <v>0</v>
      </c>
      <c r="I27" s="1">
        <v>0</v>
      </c>
      <c r="J27" s="1">
        <v>1933824</v>
      </c>
      <c r="K27" s="1">
        <v>0</v>
      </c>
      <c r="L27" s="1">
        <v>81</v>
      </c>
      <c r="M27" s="1">
        <v>34.176830000000002</v>
      </c>
      <c r="N27" s="14">
        <v>0.76278406737716098</v>
      </c>
      <c r="P27">
        <f>perfdataPerformanceSummary__3[[#This Row],[cpums]]/perfdataPerformanceSummary__3[[#This Row],[loadedp]]</f>
        <v>7.6861958482261051E-9</v>
      </c>
    </row>
    <row r="28" spans="1:16" x14ac:dyDescent="0.25">
      <c r="A28" s="7" t="s">
        <v>40</v>
      </c>
      <c r="B28" s="2">
        <v>34.813600000000001</v>
      </c>
      <c r="C28" s="2">
        <v>3.1098799999999999E-2</v>
      </c>
      <c r="D28" s="1">
        <v>0</v>
      </c>
      <c r="E28" s="1">
        <v>0</v>
      </c>
      <c r="F28" s="1">
        <v>0</v>
      </c>
      <c r="G28" s="8">
        <v>4031488</v>
      </c>
      <c r="H28" s="1">
        <v>0</v>
      </c>
      <c r="I28" s="1">
        <v>0</v>
      </c>
      <c r="J28" s="1">
        <v>2015744</v>
      </c>
      <c r="K28" s="1">
        <v>0</v>
      </c>
      <c r="L28" s="1">
        <v>82</v>
      </c>
      <c r="M28" s="1">
        <v>32.837069999999997</v>
      </c>
      <c r="N28" s="14">
        <v>0.78103549791286708</v>
      </c>
      <c r="P28">
        <f>perfdataPerformanceSummary__3[[#This Row],[cpums]]/perfdataPerformanceSummary__3[[#This Row],[loadedp]]</f>
        <v>7.7139755842011689E-9</v>
      </c>
    </row>
    <row r="29" spans="1:16" x14ac:dyDescent="0.25">
      <c r="A29" s="7" t="s">
        <v>41</v>
      </c>
      <c r="B29" s="2">
        <v>33.44</v>
      </c>
      <c r="C29" s="2">
        <v>3.2412299999999998E-2</v>
      </c>
      <c r="D29" s="1">
        <v>0</v>
      </c>
      <c r="E29" s="1">
        <v>0</v>
      </c>
      <c r="F29" s="1">
        <v>0</v>
      </c>
      <c r="G29" s="8">
        <v>4195328</v>
      </c>
      <c r="H29" s="1">
        <v>0</v>
      </c>
      <c r="I29" s="1">
        <v>0</v>
      </c>
      <c r="J29" s="1">
        <v>2097664</v>
      </c>
      <c r="K29" s="1">
        <v>0</v>
      </c>
      <c r="L29" s="1">
        <v>83</v>
      </c>
      <c r="M29" s="1">
        <v>31.512349999999998</v>
      </c>
      <c r="N29" s="14">
        <v>0.7402930144356501</v>
      </c>
      <c r="P29">
        <f>perfdataPerformanceSummary__3[[#This Row],[cpums]]/perfdataPerformanceSummary__3[[#This Row],[loadedp]]</f>
        <v>7.7258083277398088E-9</v>
      </c>
    </row>
    <row r="30" spans="1:16" x14ac:dyDescent="0.25">
      <c r="A30" s="7" t="s">
        <v>42</v>
      </c>
      <c r="B30" s="2">
        <v>32.239400000000003</v>
      </c>
      <c r="C30" s="2">
        <v>3.3645099999999997E-2</v>
      </c>
      <c r="D30" s="1">
        <v>0</v>
      </c>
      <c r="E30" s="1">
        <v>0</v>
      </c>
      <c r="F30" s="1">
        <v>0</v>
      </c>
      <c r="G30" s="8">
        <v>4359168</v>
      </c>
      <c r="H30" s="1">
        <v>0</v>
      </c>
      <c r="I30" s="1">
        <v>0</v>
      </c>
      <c r="J30" s="1">
        <v>2179584</v>
      </c>
      <c r="K30" s="1">
        <v>0</v>
      </c>
      <c r="L30" s="1">
        <v>84</v>
      </c>
      <c r="M30" s="1">
        <v>30.277840000000001</v>
      </c>
      <c r="N30" s="14">
        <v>0.74761757484841374</v>
      </c>
      <c r="P30">
        <f>perfdataPerformanceSummary__3[[#This Row],[cpums]]/perfdataPerformanceSummary__3[[#This Row],[loadedp]]</f>
        <v>7.7182388932933983E-9</v>
      </c>
    </row>
    <row r="31" spans="1:16" x14ac:dyDescent="0.25">
      <c r="A31" s="7" t="s">
        <v>43</v>
      </c>
      <c r="B31" s="2">
        <v>31.097899999999999</v>
      </c>
      <c r="C31" s="2">
        <v>3.4944900000000001E-2</v>
      </c>
      <c r="D31" s="1">
        <v>0</v>
      </c>
      <c r="E31" s="1">
        <v>0</v>
      </c>
      <c r="F31" s="1">
        <v>0</v>
      </c>
      <c r="G31" s="8">
        <v>4523008</v>
      </c>
      <c r="H31" s="1">
        <v>0</v>
      </c>
      <c r="I31" s="1">
        <v>0</v>
      </c>
      <c r="J31" s="1">
        <v>2261504</v>
      </c>
      <c r="K31" s="1">
        <v>0</v>
      </c>
      <c r="L31" s="1">
        <v>85</v>
      </c>
      <c r="M31" s="1">
        <v>29.24091</v>
      </c>
      <c r="N31" s="14">
        <v>0.70813833151126304</v>
      </c>
      <c r="P31">
        <f>perfdataPerformanceSummary__3[[#This Row],[cpums]]/perfdataPerformanceSummary__3[[#This Row],[loadedp]]</f>
        <v>7.7260309953022419E-9</v>
      </c>
    </row>
    <row r="32" spans="1:16" x14ac:dyDescent="0.25">
      <c r="A32" s="7" t="s">
        <v>44</v>
      </c>
      <c r="B32" s="2">
        <v>29.981300000000001</v>
      </c>
      <c r="C32" s="2">
        <v>3.6509399999999997E-2</v>
      </c>
      <c r="D32" s="1">
        <v>0</v>
      </c>
      <c r="E32" s="1">
        <v>0</v>
      </c>
      <c r="F32" s="1">
        <v>0</v>
      </c>
      <c r="G32" s="8">
        <v>4686848</v>
      </c>
      <c r="H32" s="1">
        <v>0</v>
      </c>
      <c r="I32" s="1">
        <v>0</v>
      </c>
      <c r="J32" s="1">
        <v>2343424</v>
      </c>
      <c r="K32" s="1">
        <v>0</v>
      </c>
      <c r="L32" s="1">
        <v>86</v>
      </c>
      <c r="M32" s="1">
        <v>28.135249999999999</v>
      </c>
      <c r="N32" s="14">
        <v>0.72559192732554578</v>
      </c>
      <c r="P32">
        <f>perfdataPerformanceSummary__3[[#This Row],[cpums]]/perfdataPerformanceSummary__3[[#This Row],[loadedp]]</f>
        <v>7.789755503058772E-9</v>
      </c>
    </row>
    <row r="33" spans="1:16" x14ac:dyDescent="0.25">
      <c r="A33" s="7" t="s">
        <v>45</v>
      </c>
      <c r="B33" s="2">
        <v>29.217700000000001</v>
      </c>
      <c r="C33" s="2">
        <v>3.7696899999999998E-2</v>
      </c>
      <c r="D33" s="1">
        <v>0</v>
      </c>
      <c r="E33" s="1">
        <v>0</v>
      </c>
      <c r="F33" s="1">
        <v>0</v>
      </c>
      <c r="G33" s="8">
        <v>4850688</v>
      </c>
      <c r="H33" s="1">
        <v>0</v>
      </c>
      <c r="I33" s="1">
        <v>0</v>
      </c>
      <c r="J33" s="1">
        <v>2425344</v>
      </c>
      <c r="K33" s="1">
        <v>0</v>
      </c>
      <c r="L33" s="1">
        <v>87</v>
      </c>
      <c r="M33" s="1">
        <v>27.24511</v>
      </c>
      <c r="N33" s="14">
        <v>0.76650674049366485</v>
      </c>
      <c r="P33">
        <f>perfdataPerformanceSummary__3[[#This Row],[cpums]]/perfdataPerformanceSummary__3[[#This Row],[loadedp]]</f>
        <v>7.7714542761769053E-9</v>
      </c>
    </row>
    <row r="34" spans="1:16" x14ac:dyDescent="0.25">
      <c r="A34" s="7" t="s">
        <v>46</v>
      </c>
      <c r="B34" s="2">
        <v>28.3508</v>
      </c>
      <c r="C34" s="2">
        <v>3.8924399999999998E-2</v>
      </c>
      <c r="D34" s="1">
        <v>0</v>
      </c>
      <c r="E34" s="1">
        <v>0</v>
      </c>
      <c r="F34" s="1">
        <v>0</v>
      </c>
      <c r="G34" s="8">
        <v>5014528</v>
      </c>
      <c r="H34" s="1">
        <v>0</v>
      </c>
      <c r="I34" s="1">
        <v>0</v>
      </c>
      <c r="J34" s="1">
        <v>2507264</v>
      </c>
      <c r="K34" s="1">
        <v>0</v>
      </c>
      <c r="L34" s="1">
        <v>88</v>
      </c>
      <c r="M34" s="1">
        <v>26.362310000000001</v>
      </c>
      <c r="N34" s="14">
        <v>0.7515103140417374</v>
      </c>
      <c r="P34">
        <f>perfdataPerformanceSummary__3[[#This Row],[cpums]]/perfdataPerformanceSummary__3[[#This Row],[loadedp]]</f>
        <v>7.7623257861956294E-9</v>
      </c>
    </row>
    <row r="35" spans="1:16" x14ac:dyDescent="0.25">
      <c r="A35" s="7" t="s">
        <v>47</v>
      </c>
      <c r="B35" s="2">
        <v>27.349599999999999</v>
      </c>
      <c r="C35" s="2">
        <v>4.0236500000000001E-2</v>
      </c>
      <c r="D35" s="1">
        <v>0</v>
      </c>
      <c r="E35" s="1">
        <v>0</v>
      </c>
      <c r="F35" s="1">
        <v>0</v>
      </c>
      <c r="G35" s="8">
        <v>5178368</v>
      </c>
      <c r="H35" s="1">
        <v>0</v>
      </c>
      <c r="I35" s="1">
        <v>0</v>
      </c>
      <c r="J35" s="1">
        <v>2589184</v>
      </c>
      <c r="K35" s="1">
        <v>0</v>
      </c>
      <c r="L35" s="1">
        <v>89</v>
      </c>
      <c r="M35" s="1">
        <v>25.417020000000001</v>
      </c>
      <c r="N35" s="14">
        <v>0.73402231089312819</v>
      </c>
      <c r="P35">
        <f>perfdataPerformanceSummary__3[[#This Row],[cpums]]/perfdataPerformanceSummary__3[[#This Row],[loadedp]]</f>
        <v>7.770112127990904E-9</v>
      </c>
    </row>
    <row r="36" spans="1:16" x14ac:dyDescent="0.25">
      <c r="A36" s="7" t="s">
        <v>48</v>
      </c>
      <c r="B36" s="2">
        <v>26.722999999999999</v>
      </c>
      <c r="C36" s="2">
        <v>4.1564400000000001E-2</v>
      </c>
      <c r="D36" s="1">
        <v>0</v>
      </c>
      <c r="E36" s="1">
        <v>0</v>
      </c>
      <c r="F36" s="1">
        <v>0</v>
      </c>
      <c r="G36" s="8">
        <v>5342208</v>
      </c>
      <c r="H36" s="1">
        <v>0</v>
      </c>
      <c r="I36" s="1">
        <v>0</v>
      </c>
      <c r="J36" s="1">
        <v>2671104</v>
      </c>
      <c r="K36" s="1">
        <v>0</v>
      </c>
      <c r="L36" s="1">
        <v>90</v>
      </c>
      <c r="M36" s="1">
        <v>24.54391</v>
      </c>
      <c r="N36" s="14">
        <v>0.79681445135545081</v>
      </c>
      <c r="P36">
        <f>perfdataPerformanceSummary__3[[#This Row],[cpums]]/perfdataPerformanceSummary__3[[#This Row],[loadedp]]</f>
        <v>7.7803784502587701E-9</v>
      </c>
    </row>
    <row r="37" spans="1:16" x14ac:dyDescent="0.25">
      <c r="A37" s="7" t="s">
        <v>49</v>
      </c>
      <c r="B37" s="2">
        <v>25.809000000000001</v>
      </c>
      <c r="C37" s="2">
        <v>4.3049400000000002E-2</v>
      </c>
      <c r="D37" s="1">
        <v>0</v>
      </c>
      <c r="E37" s="1">
        <v>0</v>
      </c>
      <c r="F37" s="1">
        <v>0</v>
      </c>
      <c r="G37" s="8">
        <v>5506048</v>
      </c>
      <c r="H37" s="1">
        <v>0</v>
      </c>
      <c r="I37" s="1">
        <v>0</v>
      </c>
      <c r="J37" s="1">
        <v>2753024</v>
      </c>
      <c r="K37" s="1">
        <v>0</v>
      </c>
      <c r="L37" s="1">
        <v>91</v>
      </c>
      <c r="M37" s="1">
        <v>23.884519999999998</v>
      </c>
      <c r="N37" s="14">
        <v>0.73703132724012055</v>
      </c>
      <c r="P37">
        <f>perfdataPerformanceSummary__3[[#This Row],[cpums]]/perfdataPerformanceSummary__3[[#This Row],[loadedp]]</f>
        <v>7.8185660568160694E-9</v>
      </c>
    </row>
    <row r="38" spans="1:16" x14ac:dyDescent="0.25">
      <c r="A38" s="7" t="s">
        <v>50</v>
      </c>
      <c r="B38" s="2">
        <v>25.020900000000001</v>
      </c>
      <c r="C38" s="2">
        <v>4.4488300000000001E-2</v>
      </c>
      <c r="D38" s="1">
        <v>0</v>
      </c>
      <c r="E38" s="1">
        <v>0</v>
      </c>
      <c r="F38" s="1">
        <v>0</v>
      </c>
      <c r="G38" s="8">
        <v>5669888</v>
      </c>
      <c r="H38" s="1">
        <v>0</v>
      </c>
      <c r="I38" s="1">
        <v>0</v>
      </c>
      <c r="J38" s="1">
        <v>2834944</v>
      </c>
      <c r="K38" s="1">
        <v>0</v>
      </c>
      <c r="L38" s="1">
        <v>92</v>
      </c>
      <c r="M38" s="1">
        <v>23.135490000000001</v>
      </c>
      <c r="N38" s="14">
        <v>0.72956727273394384</v>
      </c>
      <c r="P38">
        <f>perfdataPerformanceSummary__3[[#This Row],[cpums]]/perfdataPerformanceSummary__3[[#This Row],[loadedp]]</f>
        <v>7.846416013861297E-9</v>
      </c>
    </row>
    <row r="39" spans="1:16" x14ac:dyDescent="0.25">
      <c r="A39" s="7" t="s">
        <v>51</v>
      </c>
      <c r="B39" s="2">
        <v>24.299299999999999</v>
      </c>
      <c r="C39" s="2">
        <v>4.5815399999999999E-2</v>
      </c>
      <c r="D39" s="1">
        <v>0</v>
      </c>
      <c r="E39" s="1">
        <v>0</v>
      </c>
      <c r="F39" s="1">
        <v>0</v>
      </c>
      <c r="G39" s="8">
        <v>5833728</v>
      </c>
      <c r="H39" s="1">
        <v>0</v>
      </c>
      <c r="I39" s="1">
        <v>0</v>
      </c>
      <c r="J39" s="1">
        <v>2916864</v>
      </c>
      <c r="K39" s="1">
        <v>0</v>
      </c>
      <c r="L39" s="1">
        <v>93</v>
      </c>
      <c r="M39" s="1">
        <v>22.40062</v>
      </c>
      <c r="N39" s="14">
        <v>0.72722176779546066</v>
      </c>
      <c r="P39">
        <f>perfdataPerformanceSummary__3[[#This Row],[cpums]]/perfdataPerformanceSummary__3[[#This Row],[loadedp]]</f>
        <v>7.8535372235387049E-9</v>
      </c>
    </row>
    <row r="40" spans="1:16" x14ac:dyDescent="0.25">
      <c r="A40" s="7" t="s">
        <v>52</v>
      </c>
      <c r="B40" s="2">
        <v>23.270700000000001</v>
      </c>
      <c r="C40" s="2">
        <v>4.79809E-2</v>
      </c>
      <c r="D40" s="1">
        <v>0</v>
      </c>
      <c r="E40" s="1">
        <v>0</v>
      </c>
      <c r="F40" s="1">
        <v>0</v>
      </c>
      <c r="G40" s="8">
        <v>5997568</v>
      </c>
      <c r="H40" s="1">
        <v>0</v>
      </c>
      <c r="I40" s="1">
        <v>0</v>
      </c>
      <c r="J40" s="1">
        <v>2998784</v>
      </c>
      <c r="K40" s="1">
        <v>0</v>
      </c>
      <c r="L40" s="1">
        <v>93</v>
      </c>
      <c r="M40" s="1">
        <v>21.741379999999999</v>
      </c>
      <c r="N40" s="14">
        <v>0.64703639739627961</v>
      </c>
      <c r="P40">
        <f>perfdataPerformanceSummary__3[[#This Row],[cpums]]/perfdataPerformanceSummary__3[[#This Row],[loadedp]]</f>
        <v>8.0000593573928626E-9</v>
      </c>
    </row>
    <row r="41" spans="1:16" x14ac:dyDescent="0.25">
      <c r="A41" s="7" t="s">
        <v>53</v>
      </c>
      <c r="B41" s="2">
        <v>23.116399999999999</v>
      </c>
      <c r="C41" s="2">
        <v>4.8210799999999998E-2</v>
      </c>
      <c r="D41" s="1">
        <v>0</v>
      </c>
      <c r="E41" s="1">
        <v>0</v>
      </c>
      <c r="F41" s="1">
        <v>0</v>
      </c>
      <c r="G41" s="8">
        <v>6161408</v>
      </c>
      <c r="H41" s="1">
        <v>0</v>
      </c>
      <c r="I41" s="1">
        <v>0</v>
      </c>
      <c r="J41" s="1">
        <v>3080704</v>
      </c>
      <c r="K41" s="1">
        <v>0</v>
      </c>
      <c r="L41" s="1">
        <v>94</v>
      </c>
      <c r="M41" s="1">
        <v>21.242840000000001</v>
      </c>
      <c r="N41" s="14">
        <v>0.70352794811420072</v>
      </c>
      <c r="P41">
        <f>perfdataPerformanceSummary__3[[#This Row],[cpums]]/perfdataPerformanceSummary__3[[#This Row],[loadedp]]</f>
        <v>7.8246400822669103E-9</v>
      </c>
    </row>
    <row r="42" spans="1:16" x14ac:dyDescent="0.25">
      <c r="A42" s="10" t="s">
        <v>54</v>
      </c>
      <c r="B42" s="15">
        <v>14.1469</v>
      </c>
      <c r="C42" s="15">
        <v>8.5180400000000003E-2</v>
      </c>
      <c r="D42" s="16">
        <v>0</v>
      </c>
      <c r="E42" s="16">
        <v>0</v>
      </c>
      <c r="F42" s="16">
        <v>0</v>
      </c>
      <c r="G42" s="11">
        <v>10470400</v>
      </c>
      <c r="H42" s="16">
        <v>0</v>
      </c>
      <c r="I42" s="16">
        <v>0</v>
      </c>
      <c r="J42" s="16">
        <v>5235200</v>
      </c>
      <c r="K42" s="16">
        <v>0</v>
      </c>
      <c r="L42" s="16">
        <v>112</v>
      </c>
      <c r="M42" s="16">
        <v>12.335509999999999</v>
      </c>
      <c r="N42" s="13">
        <v>0.69900623340091417</v>
      </c>
      <c r="P42">
        <f>perfdataPerformanceSummary__3[[#This Row],[cpums]]/perfdataPerformanceSummary__3[[#This Row],[loadedp]]</f>
        <v>8.135352995110024E-9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4868-7ADC-4C9C-804B-055EC9FEDBDF}">
  <dimension ref="A1"/>
  <sheetViews>
    <sheetView tabSelected="1" zoomScale="115" zoomScaleNormal="115" workbookViewId="0">
      <selection activeCell="O89" sqref="O89"/>
    </sheetView>
  </sheetViews>
  <sheetFormatPr defaultRowHeight="1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C6F84-CD44-4924-85C3-B50F48815B12}">
  <dimension ref="W2:W42"/>
  <sheetViews>
    <sheetView workbookViewId="0">
      <selection activeCell="G31" sqref="G31"/>
    </sheetView>
  </sheetViews>
  <sheetFormatPr defaultRowHeight="15" x14ac:dyDescent="0.25"/>
  <cols>
    <col min="23" max="23" width="12.7109375" bestFit="1" customWidth="1"/>
  </cols>
  <sheetData>
    <row r="2" spans="23:23" x14ac:dyDescent="0.25">
      <c r="W2">
        <f>perfdataPerformanceSummary__3[[#This Row],[cpums]]-perfdataPerformanceSummary__2[[#This Row],[cpums]]</f>
        <v>5.1481000000000004E-5</v>
      </c>
    </row>
    <row r="3" spans="23:23" x14ac:dyDescent="0.25">
      <c r="W3">
        <f>perfdataPerformanceSummary__3[[#This Row],[cpums]]-perfdataPerformanceSummary__2[[#This Row],[cpums]]</f>
        <v>1.6714999999999992E-5</v>
      </c>
    </row>
    <row r="4" spans="23:23" x14ac:dyDescent="0.25">
      <c r="W4">
        <f>perfdataPerformanceSummary__3[[#This Row],[cpums]]-perfdataPerformanceSummary__2[[#This Row],[cpums]]</f>
        <v>1.2091099999999991E-4</v>
      </c>
    </row>
    <row r="5" spans="23:23" x14ac:dyDescent="0.25">
      <c r="W5">
        <f>perfdataPerformanceSummary__3[[#This Row],[cpums]]-perfdataPerformanceSummary__2[[#This Row],[cpums]]</f>
        <v>1.4654999999999985E-4</v>
      </c>
    </row>
    <row r="6" spans="23:23" x14ac:dyDescent="0.25">
      <c r="W6">
        <f>perfdataPerformanceSummary__3[[#This Row],[cpums]]-perfdataPerformanceSummary__2[[#This Row],[cpums]]</f>
        <v>2.6771E-4</v>
      </c>
    </row>
    <row r="7" spans="23:23" x14ac:dyDescent="0.25">
      <c r="W7">
        <f>perfdataPerformanceSummary__3[[#This Row],[cpums]]-perfdataPerformanceSummary__2[[#This Row],[cpums]]</f>
        <v>4.8340999999999966E-4</v>
      </c>
    </row>
    <row r="8" spans="23:23" x14ac:dyDescent="0.25">
      <c r="W8">
        <f>perfdataPerformanceSummary__3[[#This Row],[cpums]]-perfdataPerformanceSummary__2[[#This Row],[cpums]]</f>
        <v>9.8159000000000007E-4</v>
      </c>
    </row>
    <row r="9" spans="23:23" x14ac:dyDescent="0.25">
      <c r="W9">
        <f>perfdataPerformanceSummary__3[[#This Row],[cpums]]-perfdataPerformanceSummary__2[[#This Row],[cpums]]</f>
        <v>1.5024899999999996E-3</v>
      </c>
    </row>
    <row r="10" spans="23:23" x14ac:dyDescent="0.25">
      <c r="W10">
        <f>perfdataPerformanceSummary__3[[#This Row],[cpums]]-perfdataPerformanceSummary__2[[#This Row],[cpums]]</f>
        <v>1.6732300000000004E-3</v>
      </c>
    </row>
    <row r="11" spans="23:23" x14ac:dyDescent="0.25">
      <c r="W11">
        <f>perfdataPerformanceSummary__3[[#This Row],[cpums]]-perfdataPerformanceSummary__2[[#This Row],[cpums]]</f>
        <v>2.04148E-3</v>
      </c>
    </row>
    <row r="12" spans="23:23" x14ac:dyDescent="0.25">
      <c r="W12">
        <f>perfdataPerformanceSummary__3[[#This Row],[cpums]]-perfdataPerformanceSummary__2[[#This Row],[cpums]]</f>
        <v>2.2575500000000005E-3</v>
      </c>
    </row>
    <row r="13" spans="23:23" x14ac:dyDescent="0.25">
      <c r="W13">
        <f>perfdataPerformanceSummary__3[[#This Row],[cpums]]-perfdataPerformanceSummary__2[[#This Row],[cpums]]</f>
        <v>2.8523699999999999E-3</v>
      </c>
    </row>
    <row r="14" spans="23:23" x14ac:dyDescent="0.25">
      <c r="W14">
        <f>perfdataPerformanceSummary__3[[#This Row],[cpums]]-perfdataPerformanceSummary__2[[#This Row],[cpums]]</f>
        <v>3.3292999999999986E-3</v>
      </c>
    </row>
    <row r="15" spans="23:23" x14ac:dyDescent="0.25">
      <c r="W15">
        <f>perfdataPerformanceSummary__3[[#This Row],[cpums]]-perfdataPerformanceSummary__2[[#This Row],[cpums]]</f>
        <v>3.4274000000000006E-3</v>
      </c>
    </row>
    <row r="16" spans="23:23" x14ac:dyDescent="0.25">
      <c r="W16">
        <f>perfdataPerformanceSummary__3[[#This Row],[cpums]]-perfdataPerformanceSummary__2[[#This Row],[cpums]]</f>
        <v>3.7809000000000002E-3</v>
      </c>
    </row>
    <row r="17" spans="23:23" x14ac:dyDescent="0.25">
      <c r="W17">
        <f>perfdataPerformanceSummary__3[[#This Row],[cpums]]-perfdataPerformanceSummary__2[[#This Row],[cpums]]</f>
        <v>4.1628000000000012E-3</v>
      </c>
    </row>
    <row r="18" spans="23:23" x14ac:dyDescent="0.25">
      <c r="W18">
        <f>perfdataPerformanceSummary__3[[#This Row],[cpums]]-perfdataPerformanceSummary__2[[#This Row],[cpums]]</f>
        <v>4.5783999999999998E-3</v>
      </c>
    </row>
    <row r="19" spans="23:23" x14ac:dyDescent="0.25">
      <c r="W19">
        <f>perfdataPerformanceSummary__3[[#This Row],[cpums]]-perfdataPerformanceSummary__2[[#This Row],[cpums]]</f>
        <v>5.2693000000000011E-3</v>
      </c>
    </row>
    <row r="20" spans="23:23" x14ac:dyDescent="0.25">
      <c r="W20">
        <f>perfdataPerformanceSummary__3[[#This Row],[cpums]]-perfdataPerformanceSummary__2[[#This Row],[cpums]]</f>
        <v>5.4614999999999976E-3</v>
      </c>
    </row>
    <row r="21" spans="23:23" x14ac:dyDescent="0.25">
      <c r="W21">
        <f>perfdataPerformanceSummary__3[[#This Row],[cpums]]-perfdataPerformanceSummary__2[[#This Row],[cpums]]</f>
        <v>5.5321999999999975E-3</v>
      </c>
    </row>
    <row r="22" spans="23:23" x14ac:dyDescent="0.25">
      <c r="W22">
        <f>perfdataPerformanceSummary__3[[#This Row],[cpums]]-perfdataPerformanceSummary__2[[#This Row],[cpums]]</f>
        <v>6.1411E-3</v>
      </c>
    </row>
    <row r="23" spans="23:23" x14ac:dyDescent="0.25">
      <c r="W23">
        <f>perfdataPerformanceSummary__3[[#This Row],[cpums]]-perfdataPerformanceSummary__2[[#This Row],[cpums]]</f>
        <v>6.6031000000000006E-3</v>
      </c>
    </row>
    <row r="24" spans="23:23" x14ac:dyDescent="0.25">
      <c r="W24">
        <f>perfdataPerformanceSummary__3[[#This Row],[cpums]]-perfdataPerformanceSummary__2[[#This Row],[cpums]]</f>
        <v>7.0188999999999981E-3</v>
      </c>
    </row>
    <row r="25" spans="23:23" x14ac:dyDescent="0.25">
      <c r="W25">
        <f>perfdataPerformanceSummary__3[[#This Row],[cpums]]-perfdataPerformanceSummary__2[[#This Row],[cpums]]</f>
        <v>7.1195000000000008E-3</v>
      </c>
    </row>
    <row r="26" spans="23:23" x14ac:dyDescent="0.25">
      <c r="W26">
        <f>perfdataPerformanceSummary__3[[#This Row],[cpums]]-perfdataPerformanceSummary__2[[#This Row],[cpums]]</f>
        <v>7.5776000000000003E-3</v>
      </c>
    </row>
    <row r="27" spans="23:23" x14ac:dyDescent="0.25">
      <c r="W27">
        <f>perfdataPerformanceSummary__3[[#This Row],[cpums]]-perfdataPerformanceSummary__2[[#This Row],[cpums]]</f>
        <v>7.9696000000000003E-3</v>
      </c>
    </row>
    <row r="28" spans="23:23" x14ac:dyDescent="0.25">
      <c r="W28">
        <f>perfdataPerformanceSummary__3[[#This Row],[cpums]]-perfdataPerformanceSummary__2[[#This Row],[cpums]]</f>
        <v>8.3442999999999989E-3</v>
      </c>
    </row>
    <row r="29" spans="23:23" x14ac:dyDescent="0.25">
      <c r="W29">
        <f>perfdataPerformanceSummary__3[[#This Row],[cpums]]-perfdataPerformanceSummary__2[[#This Row],[cpums]]</f>
        <v>8.8637999999999981E-3</v>
      </c>
    </row>
    <row r="30" spans="23:23" x14ac:dyDescent="0.25">
      <c r="W30">
        <f>perfdataPerformanceSummary__3[[#This Row],[cpums]]-perfdataPerformanceSummary__2[[#This Row],[cpums]]</f>
        <v>9.0861999999999957E-3</v>
      </c>
    </row>
    <row r="31" spans="23:23" x14ac:dyDescent="0.25">
      <c r="W31">
        <f>perfdataPerformanceSummary__3[[#This Row],[cpums]]-perfdataPerformanceSummary__2[[#This Row],[cpums]]</f>
        <v>9.5639000000000002E-3</v>
      </c>
    </row>
    <row r="32" spans="23:23" x14ac:dyDescent="0.25">
      <c r="W32">
        <f>perfdataPerformanceSummary__3[[#This Row],[cpums]]-perfdataPerformanceSummary__2[[#This Row],[cpums]]</f>
        <v>1.0396199999999998E-2</v>
      </c>
    </row>
    <row r="33" spans="23:23" x14ac:dyDescent="0.25">
      <c r="W33">
        <f>perfdataPerformanceSummary__3[[#This Row],[cpums]]-perfdataPerformanceSummary__2[[#This Row],[cpums]]</f>
        <v>1.04899E-2</v>
      </c>
    </row>
    <row r="34" spans="23:23" x14ac:dyDescent="0.25">
      <c r="W34">
        <f>perfdataPerformanceSummary__3[[#This Row],[cpums]]-perfdataPerformanceSummary__2[[#This Row],[cpums]]</f>
        <v>1.0735599999999998E-2</v>
      </c>
    </row>
    <row r="35" spans="23:23" x14ac:dyDescent="0.25">
      <c r="W35">
        <f>perfdataPerformanceSummary__3[[#This Row],[cpums]]-perfdataPerformanceSummary__2[[#This Row],[cpums]]</f>
        <v>1.11412E-2</v>
      </c>
    </row>
    <row r="36" spans="23:23" x14ac:dyDescent="0.25">
      <c r="W36">
        <f>perfdataPerformanceSummary__3[[#This Row],[cpums]]-perfdataPerformanceSummary__2[[#This Row],[cpums]]</f>
        <v>1.14918E-2</v>
      </c>
    </row>
    <row r="37" spans="23:23" x14ac:dyDescent="0.25">
      <c r="W37">
        <f>perfdataPerformanceSummary__3[[#This Row],[cpums]]-perfdataPerformanceSummary__2[[#This Row],[cpums]]</f>
        <v>1.1939600000000002E-2</v>
      </c>
    </row>
    <row r="38" spans="23:23" x14ac:dyDescent="0.25">
      <c r="W38">
        <f>perfdataPerformanceSummary__3[[#This Row],[cpums]]-perfdataPerformanceSummary__2[[#This Row],[cpums]]</f>
        <v>1.2515200000000004E-2</v>
      </c>
    </row>
    <row r="39" spans="23:23" x14ac:dyDescent="0.25">
      <c r="W39">
        <f>perfdataPerformanceSummary__3[[#This Row],[cpums]]-perfdataPerformanceSummary__2[[#This Row],[cpums]]</f>
        <v>1.2946699999999998E-2</v>
      </c>
    </row>
    <row r="40" spans="23:23" x14ac:dyDescent="0.25">
      <c r="W40">
        <f>perfdataPerformanceSummary__3[[#This Row],[cpums]]-perfdataPerformanceSummary__2[[#This Row],[cpums]]</f>
        <v>1.41504E-2</v>
      </c>
    </row>
    <row r="41" spans="23:23" x14ac:dyDescent="0.25">
      <c r="W41">
        <f>perfdataPerformanceSummary__3[[#This Row],[cpums]]-perfdataPerformanceSummary__2[[#This Row],[cpums]]</f>
        <v>1.3328E-2</v>
      </c>
    </row>
    <row r="42" spans="23:23" x14ac:dyDescent="0.25">
      <c r="W42">
        <f>perfdataPerformanceSummary__3[[#This Row],[cpums]]-perfdataPerformanceSummary__2[[#This Row],[cpums]]</f>
        <v>2.6089000000000001E-2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72470-A184-47B3-8A7F-1C2A4030437C}">
  <dimension ref="A1"/>
  <sheetViews>
    <sheetView zoomScale="115" zoomScaleNormal="115" workbookViewId="0">
      <selection activeCell="K22" sqref="K22"/>
    </sheetView>
  </sheetViews>
  <sheetFormatPr defaultRowHeight="15" x14ac:dyDescent="0.25"/>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2FDF8-20DF-41CC-BA60-C0C4D211A565}">
  <dimension ref="A1"/>
  <sheetViews>
    <sheetView topLeftCell="A10" zoomScale="115" zoomScaleNormal="115" workbookViewId="0">
      <selection activeCell="J24" sqref="J24"/>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C99BBE-1083-4B5F-9ED0-F81E4DBCD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PQBV Data</vt:lpstr>
      <vt:lpstr>PQBS Data</vt:lpstr>
      <vt:lpstr>PQBST Data</vt:lpstr>
      <vt:lpstr>PQBS Total Plots</vt:lpstr>
      <vt:lpstr>PQBST Compute Plots</vt:lpstr>
      <vt:lpstr>PQBST Graphics Plots</vt:lpstr>
      <vt:lpstr>PQBS ALL Plots</vt:lpstr>
      <vt:lpstr>PBQRT Data</vt:lpstr>
      <vt:lpstr>PQBR Data</vt:lpstr>
      <vt:lpstr>PQBR Total Plots</vt:lpstr>
      <vt:lpstr>PQBS vs PQBR</vt:lpstr>
      <vt:lpstr>PQBRT Compute Plots</vt:lpstr>
      <vt:lpstr>PQBRT Graphics Plots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Bell,Jackie M</dc:creator>
  <cp:lastModifiedBy>Bell,Jackie M</cp:lastModifiedBy>
  <dcterms:created xsi:type="dcterms:W3CDTF">2025-08-04T20:53:59Z</dcterms:created>
  <dcterms:modified xsi:type="dcterms:W3CDTF">2025-08-17T18:37:09Z</dcterms:modified>
</cp:coreProperties>
</file>