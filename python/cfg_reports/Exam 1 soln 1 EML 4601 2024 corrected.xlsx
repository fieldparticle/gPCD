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_DJ\gPCD\python\cfg_reports\"/>
    </mc:Choice>
  </mc:AlternateContent>
  <xr:revisionPtr revIDLastSave="0" documentId="13_ncr:1_{790A2A50-5648-48D3-B5E4-77BD3B2FFED0}" xr6:coauthVersionLast="47" xr6:coauthVersionMax="47" xr10:uidLastSave="{00000000-0000-0000-0000-000000000000}"/>
  <bookViews>
    <workbookView xWindow="-23790" yWindow="3525" windowWidth="21600" windowHeight="1129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3" i="1" l="1"/>
  <c r="G83" i="1"/>
  <c r="A75" i="1" l="1"/>
  <c r="G75" i="1" s="1"/>
  <c r="I73" i="1"/>
  <c r="I69" i="1"/>
  <c r="A79" i="1" s="1"/>
  <c r="G79" i="1" s="1"/>
  <c r="I23" i="1" l="1"/>
  <c r="A18" i="1"/>
  <c r="I18" i="1" s="1"/>
  <c r="H14" i="1"/>
  <c r="E10" i="1"/>
  <c r="C9" i="1"/>
  <c r="E9" i="1" s="1"/>
  <c r="E3" i="1"/>
  <c r="J3" i="1" s="1"/>
  <c r="A31" i="1" l="1"/>
  <c r="E11" i="1"/>
</calcChain>
</file>

<file path=xl/sharedStrings.xml><?xml version="1.0" encoding="utf-8"?>
<sst xmlns="http://schemas.openxmlformats.org/spreadsheetml/2006/main" count="55" uniqueCount="43">
  <si>
    <t>sf</t>
  </si>
  <si>
    <t>cfm/sf</t>
  </si>
  <si>
    <t>cfm sa</t>
  </si>
  <si>
    <t>for load</t>
  </si>
  <si>
    <t>sensible load</t>
  </si>
  <si>
    <t xml:space="preserve">problem 1 </t>
  </si>
  <si>
    <t>problem 2</t>
  </si>
  <si>
    <t>cfm to meet ashrae</t>
  </si>
  <si>
    <t>problem 3</t>
  </si>
  <si>
    <t>cfm hood make up</t>
  </si>
  <si>
    <t>problem 4</t>
  </si>
  <si>
    <t>ft</t>
  </si>
  <si>
    <t>acph</t>
  </si>
  <si>
    <t xml:space="preserve">cfm </t>
  </si>
  <si>
    <t>for 10ACPH</t>
  </si>
  <si>
    <t>problem 5</t>
  </si>
  <si>
    <t>for,pressurization</t>
  </si>
  <si>
    <t>problem 6</t>
  </si>
  <si>
    <t xml:space="preserve"> problem 7</t>
  </si>
  <si>
    <t>problem 8</t>
  </si>
  <si>
    <t>tons</t>
  </si>
  <si>
    <t>btuh</t>
  </si>
  <si>
    <t>btuh preheat coil</t>
  </si>
  <si>
    <t>btuh reheat coil</t>
  </si>
  <si>
    <t>gpm chw</t>
  </si>
  <si>
    <t xml:space="preserve">gpm hhw </t>
  </si>
  <si>
    <t>preheat coil</t>
  </si>
  <si>
    <t>gpm hhw</t>
  </si>
  <si>
    <t>reheat coil</t>
  </si>
  <si>
    <t>36x36</t>
  </si>
  <si>
    <t>38x38</t>
  </si>
  <si>
    <t>both acceptable answers</t>
  </si>
  <si>
    <t>10200 cfm required to meet load</t>
  </si>
  <si>
    <t>cfm supply air cfm</t>
  </si>
  <si>
    <t>cfm extra exhaust</t>
  </si>
  <si>
    <t>94x94</t>
  </si>
  <si>
    <t>for both 14 and 16, if student's answer is +/- 2", take off only 5.</t>
  </si>
  <si>
    <t>EXAM 1 eml 4601 2020 solution</t>
  </si>
  <si>
    <t xml:space="preserve">problem </t>
  </si>
  <si>
    <t>problem 7</t>
  </si>
  <si>
    <t>2.5 or 3 inch pipe</t>
  </si>
  <si>
    <t>1  inch pipe</t>
  </si>
  <si>
    <t xml:space="preserve">2 or 2 1/2 inch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</si>
</sst>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/>
    <xf numFmtId="0" fontId="2" fillId="3" borderId="0" xfId="0" applyFont="1" applyFill="1"/>
    <xf numFmtId="3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204811</xdr:rowOff>
    </xdr:from>
    <xdr:to>
      <xdr:col>11</xdr:col>
      <xdr:colOff>399491</xdr:colOff>
      <xdr:row>59</xdr:row>
      <xdr:rowOff>122114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74BEC9-5F07-4477-8C60-4ED99FBA9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388"/>
          <a:ext cx="8483529" cy="625102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25</xdr:col>
      <xdr:colOff>130257</xdr:colOff>
      <xdr:row>50</xdr:row>
      <xdr:rowOff>265096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1B1BCA-77B7-4777-AA65-B7FF5C05E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26346" y="9134231"/>
          <a:ext cx="6236026" cy="45635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6"/>
  <sheetViews>
    <sheetView tabSelected="1" topLeftCell="A69" zoomScale="78" zoomScaleNormal="78" workbookViewId="0">
      <selection activeCell="G83" sqref="G83"/>
    </sheetView>
  </sheetViews>
  <sheetFormatPr defaultRowHeight="15" x14ac:dyDescent="0.25"/>
  <cols>
    <col min="1" max="1" width="16.140625" customWidth="1"/>
    <col min="5" max="5" width="11.42578125" bestFit="1" customWidth="1"/>
    <col min="9" max="9" width="14.42578125" bestFit="1" customWidth="1"/>
    <col min="10" max="10" width="12.5703125" bestFit="1" customWidth="1"/>
  </cols>
  <sheetData>
    <row r="1" spans="1:17" ht="21" x14ac:dyDescent="0.35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x14ac:dyDescent="0.35">
      <c r="A2" s="3" t="s">
        <v>5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1" x14ac:dyDescent="0.35">
      <c r="A3" s="1">
        <v>8500</v>
      </c>
      <c r="B3" s="1"/>
      <c r="C3" s="1">
        <v>1.2</v>
      </c>
      <c r="D3" s="1"/>
      <c r="E3" s="5">
        <f>+A3*C3</f>
        <v>10200</v>
      </c>
      <c r="F3" s="1"/>
      <c r="G3" s="1">
        <v>75</v>
      </c>
      <c r="H3" s="1">
        <v>56</v>
      </c>
      <c r="I3" s="1"/>
      <c r="J3" s="1">
        <f>+E3*1.08*(G3-H3)</f>
        <v>209304</v>
      </c>
      <c r="K3" s="1"/>
      <c r="L3" s="1"/>
      <c r="M3" s="1"/>
      <c r="N3" s="1"/>
      <c r="O3" s="1"/>
      <c r="P3" s="1"/>
      <c r="Q3" s="1"/>
    </row>
    <row r="4" spans="1:17" ht="21" x14ac:dyDescent="0.35">
      <c r="A4" s="1" t="s">
        <v>0</v>
      </c>
      <c r="B4" s="1"/>
      <c r="C4" s="1" t="s">
        <v>1</v>
      </c>
      <c r="D4" s="1"/>
      <c r="E4" s="1" t="s">
        <v>2</v>
      </c>
      <c r="F4" s="1"/>
      <c r="G4" s="1"/>
      <c r="H4" s="1"/>
      <c r="I4" s="1"/>
      <c r="J4" s="1" t="s">
        <v>4</v>
      </c>
      <c r="K4" s="1"/>
      <c r="L4" s="1"/>
      <c r="M4" s="1"/>
      <c r="N4" s="1"/>
      <c r="O4" s="1"/>
      <c r="P4" s="1"/>
      <c r="Q4" s="1"/>
    </row>
    <row r="5" spans="1:17" ht="21" x14ac:dyDescent="0.35">
      <c r="A5" s="1"/>
      <c r="B5" s="1"/>
      <c r="C5" s="1"/>
      <c r="D5" s="1"/>
      <c r="E5" s="1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1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v>1</v>
      </c>
      <c r="Q6" s="1"/>
    </row>
    <row r="7" spans="1:17" ht="21" x14ac:dyDescent="0.35">
      <c r="A7" s="1" t="s">
        <v>32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21" x14ac:dyDescent="0.35">
      <c r="A8" s="3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1" x14ac:dyDescent="0.35">
      <c r="A9" s="1">
        <v>0.18</v>
      </c>
      <c r="B9" s="1"/>
      <c r="C9" s="1">
        <f>+A3</f>
        <v>8500</v>
      </c>
      <c r="D9" s="1"/>
      <c r="E9" s="1">
        <f>+A9*C9</f>
        <v>1530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21" x14ac:dyDescent="0.35">
      <c r="A10" s="1">
        <v>10</v>
      </c>
      <c r="B10" s="1"/>
      <c r="C10" s="1">
        <v>42</v>
      </c>
      <c r="D10" s="1"/>
      <c r="E10" s="1">
        <f>+A10*C10</f>
        <v>420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21" x14ac:dyDescent="0.35">
      <c r="A11" s="1"/>
      <c r="B11" s="1"/>
      <c r="C11" s="1"/>
      <c r="D11" s="1"/>
      <c r="E11" s="5">
        <f>SUM(E9:E10)</f>
        <v>1950</v>
      </c>
      <c r="F11" s="1" t="s">
        <v>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2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21" x14ac:dyDescent="0.35">
      <c r="A13" s="1" t="s">
        <v>38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21" x14ac:dyDescent="0.35">
      <c r="A14" s="1">
        <v>3</v>
      </c>
      <c r="B14" s="1">
        <v>5</v>
      </c>
      <c r="C14" s="1"/>
      <c r="D14" s="1">
        <v>100</v>
      </c>
      <c r="E14" s="1">
        <v>16</v>
      </c>
      <c r="F14" s="1">
        <v>12</v>
      </c>
      <c r="G14" s="1"/>
      <c r="H14" s="1">
        <f>+A14*B14*D14*E14/F14</f>
        <v>2000</v>
      </c>
      <c r="I14" s="1"/>
      <c r="J14" s="1"/>
      <c r="K14" s="1"/>
      <c r="L14" s="1"/>
      <c r="M14" s="1"/>
      <c r="N14" s="1"/>
      <c r="O14" s="1"/>
      <c r="P14" s="1"/>
      <c r="Q14" s="1"/>
    </row>
    <row r="15" spans="1:17" ht="21" x14ac:dyDescent="0.35">
      <c r="A15" s="1"/>
      <c r="B15" s="1"/>
      <c r="C15" s="1"/>
      <c r="D15" s="1"/>
      <c r="E15" s="1"/>
      <c r="F15" s="1"/>
      <c r="G15" s="1"/>
      <c r="H15" s="1" t="s">
        <v>9</v>
      </c>
      <c r="I15" s="1"/>
      <c r="J15" s="1"/>
      <c r="K15" s="1"/>
      <c r="L15" s="1"/>
      <c r="M15" s="1"/>
      <c r="N15" s="1"/>
      <c r="O15" s="1"/>
      <c r="P15" s="1"/>
      <c r="Q15" s="1"/>
    </row>
    <row r="16" spans="1:17" ht="2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1" x14ac:dyDescent="0.35">
      <c r="A17" s="1" t="s">
        <v>38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1" x14ac:dyDescent="0.35">
      <c r="A18" s="1">
        <f>+A3</f>
        <v>8500</v>
      </c>
      <c r="B18" s="1"/>
      <c r="C18" s="1">
        <v>10</v>
      </c>
      <c r="D18" s="1"/>
      <c r="E18" s="1">
        <v>10</v>
      </c>
      <c r="F18" s="1"/>
      <c r="G18" s="1">
        <v>60</v>
      </c>
      <c r="H18" s="1"/>
      <c r="I18" s="1">
        <f>+A18*C18*E18/G18</f>
        <v>14166.666666666666</v>
      </c>
      <c r="J18" s="1"/>
      <c r="K18" s="1"/>
      <c r="L18" s="1"/>
      <c r="M18" s="1"/>
      <c r="N18" s="1"/>
      <c r="O18" s="1"/>
      <c r="P18" s="1"/>
      <c r="Q18" s="1"/>
    </row>
    <row r="19" spans="1:17" ht="21" x14ac:dyDescent="0.35">
      <c r="A19" s="1" t="s">
        <v>0</v>
      </c>
      <c r="B19" s="1"/>
      <c r="C19" s="1" t="s">
        <v>11</v>
      </c>
      <c r="D19" s="1"/>
      <c r="E19" s="1" t="s">
        <v>12</v>
      </c>
      <c r="F19" s="1"/>
      <c r="G19" s="1"/>
      <c r="H19" s="1"/>
      <c r="I19" s="1" t="s">
        <v>13</v>
      </c>
      <c r="J19" s="1" t="s">
        <v>14</v>
      </c>
      <c r="K19" s="1"/>
      <c r="L19" s="1"/>
      <c r="M19" s="1"/>
      <c r="N19" s="1"/>
      <c r="O19" s="1"/>
      <c r="P19" s="1"/>
      <c r="Q19" s="1"/>
    </row>
    <row r="20" spans="1:17" ht="2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2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21" x14ac:dyDescent="0.35">
      <c r="A22" s="1" t="s">
        <v>38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21" x14ac:dyDescent="0.35">
      <c r="A23" s="1">
        <v>8500</v>
      </c>
      <c r="B23" s="1"/>
      <c r="C23" s="1">
        <v>10</v>
      </c>
      <c r="D23" s="1"/>
      <c r="E23" s="1">
        <v>0.2</v>
      </c>
      <c r="F23" s="1"/>
      <c r="G23" s="1">
        <v>60</v>
      </c>
      <c r="H23" s="1"/>
      <c r="I23" s="1">
        <f>+A23*C23*E23/G23</f>
        <v>283.33333333333331</v>
      </c>
      <c r="J23" s="1"/>
      <c r="K23" s="1"/>
      <c r="L23" s="1"/>
      <c r="M23" s="1"/>
      <c r="N23" s="1"/>
      <c r="O23" s="1"/>
      <c r="P23" s="1"/>
      <c r="Q23" s="1"/>
    </row>
    <row r="24" spans="1:17" ht="21" x14ac:dyDescent="0.35">
      <c r="A24" s="1" t="s">
        <v>0</v>
      </c>
      <c r="B24" s="1"/>
      <c r="C24" s="1" t="s">
        <v>11</v>
      </c>
      <c r="D24" s="1"/>
      <c r="E24" s="1" t="s">
        <v>12</v>
      </c>
      <c r="F24" s="1"/>
      <c r="G24" s="1"/>
      <c r="H24" s="1"/>
      <c r="I24" s="1" t="s">
        <v>13</v>
      </c>
      <c r="J24" s="1" t="s">
        <v>16</v>
      </c>
      <c r="K24" s="1"/>
      <c r="L24" s="1"/>
      <c r="M24" s="1"/>
      <c r="N24" s="1"/>
      <c r="O24" s="1"/>
      <c r="P24" s="1"/>
      <c r="Q24" s="1"/>
    </row>
    <row r="25" spans="1:17" ht="2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1" x14ac:dyDescent="0.35">
      <c r="A26" s="1" t="s">
        <v>38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2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21" x14ac:dyDescent="0.35">
      <c r="A28" s="1">
        <v>14167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21" x14ac:dyDescent="0.35">
      <c r="A29" s="1" t="s">
        <v>33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21" x14ac:dyDescent="0.35">
      <c r="A30" s="1" t="s">
        <v>18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21" x14ac:dyDescent="0.35">
      <c r="A31" s="1">
        <f>+A28-H14+I23</f>
        <v>12450.333333333334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21" x14ac:dyDescent="0.35">
      <c r="A32" s="1" t="s">
        <v>34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2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2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2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2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2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2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2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2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2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2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2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2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2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2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2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2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2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2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65" spans="1:15" ht="23.25" x14ac:dyDescent="0.35">
      <c r="A65" s="4" t="s">
        <v>8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 ht="23.25" x14ac:dyDescent="0.35">
      <c r="A66" s="6">
        <v>29.9</v>
      </c>
      <c r="B66" s="2" t="s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 ht="23.25" x14ac:dyDescent="0.35">
      <c r="A67" s="7">
        <v>359387</v>
      </c>
      <c r="B67" s="2" t="s">
        <v>21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 ht="23.25" x14ac:dyDescent="0.35">
      <c r="A68" s="4" t="s">
        <v>10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 ht="23.25" x14ac:dyDescent="0.35">
      <c r="A69" s="2">
        <v>1950</v>
      </c>
      <c r="B69" s="2"/>
      <c r="C69" s="2">
        <v>1.08</v>
      </c>
      <c r="D69" s="2"/>
      <c r="E69" s="2">
        <v>56</v>
      </c>
      <c r="F69" s="2"/>
      <c r="G69" s="2">
        <v>29</v>
      </c>
      <c r="H69" s="2"/>
      <c r="I69" s="6">
        <f>+A69*C69*(E69-G69)</f>
        <v>56862</v>
      </c>
      <c r="J69" s="2" t="s">
        <v>22</v>
      </c>
      <c r="K69" s="2"/>
      <c r="L69" s="2"/>
      <c r="M69" s="2"/>
      <c r="N69" s="2"/>
      <c r="O69" s="2"/>
    </row>
    <row r="70" spans="1:15" ht="23.25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 ht="23.25" x14ac:dyDescent="0.35">
      <c r="A71" s="4" t="s">
        <v>15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 ht="23.25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 ht="23.25" x14ac:dyDescent="0.35">
      <c r="A73" s="2">
        <v>10200</v>
      </c>
      <c r="B73" s="2"/>
      <c r="C73" s="2">
        <v>1.08</v>
      </c>
      <c r="D73" s="2"/>
      <c r="E73" s="2">
        <v>56</v>
      </c>
      <c r="F73" s="2"/>
      <c r="G73" s="2">
        <v>95</v>
      </c>
      <c r="H73" s="2"/>
      <c r="I73" s="6">
        <f>+A73*C73*(G73-E73)</f>
        <v>429624</v>
      </c>
      <c r="J73" s="2" t="s">
        <v>23</v>
      </c>
      <c r="K73" s="2"/>
      <c r="L73" s="2"/>
      <c r="M73" s="2"/>
      <c r="N73" s="2"/>
      <c r="O73" s="2"/>
    </row>
    <row r="74" spans="1:15" ht="23.25" x14ac:dyDescent="0.35">
      <c r="A74" s="4" t="s">
        <v>17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23.25" x14ac:dyDescent="0.35">
      <c r="A75" s="2">
        <f>+A67</f>
        <v>359387</v>
      </c>
      <c r="B75" s="2"/>
      <c r="C75" s="2">
        <v>500</v>
      </c>
      <c r="D75" s="2"/>
      <c r="E75" s="2">
        <v>10</v>
      </c>
      <c r="F75" s="2"/>
      <c r="G75" s="6">
        <f>+A75/(C75*E75)</f>
        <v>71.877399999999994</v>
      </c>
      <c r="H75" s="2" t="s">
        <v>24</v>
      </c>
      <c r="I75" s="2"/>
      <c r="J75" s="2"/>
      <c r="K75" s="2"/>
      <c r="L75" s="2"/>
      <c r="M75" s="2"/>
      <c r="N75" s="2"/>
      <c r="O75" s="2"/>
    </row>
    <row r="76" spans="1:15" ht="23.25" x14ac:dyDescent="0.35">
      <c r="A76" s="2" t="s">
        <v>21</v>
      </c>
      <c r="B76" s="2"/>
      <c r="C76" s="2"/>
      <c r="D76" s="2"/>
      <c r="E76" s="2"/>
      <c r="F76" s="2"/>
      <c r="G76" s="6" t="s">
        <v>40</v>
      </c>
      <c r="H76" s="6"/>
      <c r="I76" s="2"/>
      <c r="J76" s="2"/>
      <c r="K76" s="2"/>
      <c r="L76" s="2"/>
      <c r="M76" s="2"/>
      <c r="N76" s="2"/>
      <c r="O76" s="2"/>
    </row>
    <row r="77" spans="1:15" ht="23.25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 spans="1:15" ht="23.25" x14ac:dyDescent="0.35">
      <c r="A78" s="4" t="s">
        <v>39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 spans="1:15" ht="23.25" x14ac:dyDescent="0.35">
      <c r="A79" s="2">
        <f>+I69</f>
        <v>56862</v>
      </c>
      <c r="B79" s="2"/>
      <c r="C79" s="2">
        <v>500</v>
      </c>
      <c r="D79" s="2"/>
      <c r="E79" s="2">
        <v>20</v>
      </c>
      <c r="F79" s="2"/>
      <c r="G79" s="6">
        <f>+A79/10000</f>
        <v>5.6862000000000004</v>
      </c>
      <c r="H79" s="2" t="s">
        <v>25</v>
      </c>
      <c r="I79" s="2"/>
      <c r="J79" s="2"/>
      <c r="K79" s="2"/>
      <c r="L79" s="2"/>
      <c r="M79" s="2"/>
      <c r="N79" s="2"/>
      <c r="O79" s="2"/>
    </row>
    <row r="80" spans="1:15" ht="23.25" x14ac:dyDescent="0.35">
      <c r="A80" s="2" t="s">
        <v>21</v>
      </c>
      <c r="B80" s="2"/>
      <c r="C80" s="2"/>
      <c r="D80" s="2"/>
      <c r="E80" s="2"/>
      <c r="F80" s="2"/>
      <c r="G80" s="2"/>
      <c r="H80" s="2" t="s">
        <v>26</v>
      </c>
      <c r="I80" s="2"/>
      <c r="J80" s="2"/>
      <c r="K80" s="2"/>
      <c r="L80" s="2"/>
      <c r="M80" s="2"/>
      <c r="N80" s="2"/>
      <c r="O80" s="2"/>
    </row>
    <row r="81" spans="1:15" ht="23.25" x14ac:dyDescent="0.35">
      <c r="A81" s="2"/>
      <c r="B81" s="2"/>
      <c r="C81" s="2"/>
      <c r="D81" s="2"/>
      <c r="E81" s="2"/>
      <c r="F81" s="2"/>
      <c r="G81" s="6" t="s">
        <v>41</v>
      </c>
      <c r="H81" s="6"/>
      <c r="I81" s="2"/>
      <c r="J81" s="2"/>
      <c r="K81" s="2"/>
      <c r="L81" s="2"/>
      <c r="M81" s="2"/>
      <c r="N81" s="2"/>
      <c r="O81" s="2"/>
    </row>
    <row r="82" spans="1:15" ht="23.25" x14ac:dyDescent="0.35">
      <c r="A82" s="4" t="s">
        <v>19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5" ht="23.25" x14ac:dyDescent="0.35">
      <c r="A83" s="2">
        <f>+I73</f>
        <v>429624</v>
      </c>
      <c r="B83" s="2"/>
      <c r="C83" s="2">
        <v>500</v>
      </c>
      <c r="D83" s="2"/>
      <c r="E83" s="2">
        <v>20</v>
      </c>
      <c r="F83" s="2"/>
      <c r="G83" s="6">
        <f>+A83/10000</f>
        <v>42.962400000000002</v>
      </c>
      <c r="H83" s="2" t="s">
        <v>27</v>
      </c>
      <c r="I83" s="2"/>
      <c r="J83" s="2"/>
      <c r="K83" s="2"/>
      <c r="L83" s="2"/>
      <c r="M83" s="2"/>
      <c r="N83" s="2"/>
      <c r="O83" s="2"/>
    </row>
    <row r="84" spans="1:15" ht="23.25" x14ac:dyDescent="0.35">
      <c r="A84" s="2"/>
      <c r="B84" s="2"/>
      <c r="C84" s="2"/>
      <c r="D84" s="2"/>
      <c r="E84" s="2"/>
      <c r="F84" s="2"/>
      <c r="G84" s="2"/>
      <c r="H84" s="2" t="s">
        <v>28</v>
      </c>
      <c r="I84" s="2"/>
      <c r="J84" s="2"/>
      <c r="K84" s="2"/>
      <c r="L84" s="2"/>
      <c r="M84" s="2"/>
      <c r="N84" s="2"/>
      <c r="O84" s="2"/>
    </row>
    <row r="85" spans="1:15" ht="23.25" x14ac:dyDescent="0.35">
      <c r="A85" s="2"/>
      <c r="B85" s="2"/>
      <c r="C85" s="2"/>
      <c r="D85" s="2"/>
      <c r="E85" s="2"/>
      <c r="F85" s="2"/>
      <c r="G85" s="6" t="s">
        <v>42</v>
      </c>
      <c r="H85" s="6"/>
      <c r="I85" s="2"/>
      <c r="J85" s="2"/>
      <c r="K85" s="2"/>
      <c r="L85" s="2"/>
      <c r="M85" s="2"/>
      <c r="N85" s="2"/>
      <c r="O85" s="2"/>
    </row>
    <row r="86" spans="1:15" ht="23.25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 spans="1:15" ht="23.25" x14ac:dyDescent="0.35">
      <c r="A87" s="2" t="s">
        <v>38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 ht="23.25" x14ac:dyDescent="0.35">
      <c r="A88" s="2" t="s">
        <v>29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 spans="1:15" ht="23.25" x14ac:dyDescent="0.35">
      <c r="A89" s="2" t="s">
        <v>30</v>
      </c>
      <c r="B89" s="2"/>
      <c r="C89" s="2" t="s">
        <v>31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 ht="23.25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23.25" x14ac:dyDescent="0.35">
      <c r="A91" s="2" t="s">
        <v>38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23.25" x14ac:dyDescent="0.35">
      <c r="A92" s="2" t="s">
        <v>35</v>
      </c>
      <c r="B92" s="2"/>
      <c r="C92" s="2" t="s">
        <v>36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 ht="23.25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 ht="23.25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 ht="23.25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 ht="23.25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 ht="23.25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 ht="23.25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 ht="23.25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 ht="23.25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 ht="23.25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 ht="23.25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 ht="23.25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 ht="23.25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 ht="23.25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 ht="23.25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 ht="23.25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 ht="23.25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 ht="23.25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 ht="23.25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 ht="23.25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 ht="23.25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 ht="23.25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 ht="23.25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 ht="23.25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 ht="23.25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 ht="23.25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 ht="23.25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 ht="23.25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23.25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23.25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23.25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ht="23.25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 ht="23.25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 ht="23.25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ht="23.25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23.25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23.25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 ht="23.25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 ht="23.25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 ht="23.25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 ht="23.25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23.25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23.25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 ht="23.25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 ht="23.25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 ht="23.25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 ht="23.25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 ht="23.25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 ht="23.25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 ht="23.25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 ht="23.25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 ht="23.25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 ht="23.25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 ht="23.25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23.25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23.25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 ht="23.25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 ht="23.25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 ht="23.25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 ht="23.25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23.25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23.25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 ht="23.25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ht="23.25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ht="23.25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ht="23.25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ht="23.25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ht="23.25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 ht="23.25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 ht="23.25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 ht="23.25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 ht="23.25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 ht="23.25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 ht="23.25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 ht="23.25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 ht="23.25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 ht="23.25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 ht="23.25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 ht="23.25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 ht="23.25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23.25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23.25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23.25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 ht="23.25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 ht="23.25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 ht="23.25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 ht="23.25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 ht="23.25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23.25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23.25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spans="1:15" ht="23.25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 ht="23.25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spans="1:15" ht="23.25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spans="1:15" ht="23.25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spans="1:15" ht="23.25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spans="1:15" ht="23.25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spans="1:15" ht="23.25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spans="1:15" ht="23.25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spans="1:15" ht="23.25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spans="1:15" ht="23.25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spans="1:15" ht="23.25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spans="1:15" ht="23.25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spans="1:15" ht="23.25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spans="1:15" ht="23.25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spans="1:15" ht="23.25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23.25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23.25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spans="1:15" ht="23.25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 ht="23.25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spans="1:15" ht="23.25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spans="1:15" ht="23.25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spans="1:15" ht="23.25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spans="1:15" ht="23.25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spans="1:15" ht="23.25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23.25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23.25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23.25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spans="1:15" ht="23.25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 ht="23.25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spans="1:15" ht="23.25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spans="1:15" ht="23.25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23.25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spans="1:15" ht="23.25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spans="1:15" ht="23.25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spans="1:15" ht="23.25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spans="1:15" ht="23.25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spans="1:15" ht="23.25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spans="1:15" ht="23.25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spans="1:15" ht="23.25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spans="1:15" ht="23.25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spans="1:15" ht="23.25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spans="1:15" ht="23.25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spans="1:15" ht="23.25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spans="1:15" ht="23.25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spans="1:15" ht="23.25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15" ht="23.25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spans="1:15" ht="23.25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spans="1:15" ht="23.25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spans="1:15" ht="23.25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spans="1:15" ht="23.25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spans="1:15" ht="23.25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spans="1:15" ht="23.25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spans="1:15" ht="23.25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spans="1:15" ht="23.25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spans="1:15" ht="23.25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spans="1:15" ht="23.25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spans="1:15" ht="23.25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spans="1:15" ht="23.25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spans="1:15" ht="23.25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spans="1:15" ht="23.25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spans="1:15" ht="23.25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spans="1:15" ht="23.25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spans="1:15" ht="23.25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spans="1:15" ht="23.25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spans="1:15" ht="23.25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</sheetData>
  <pageMargins left="0.7" right="0.7" top="0.75" bottom="0.75" header="0.3" footer="0.3"/>
  <pageSetup scale="56" fitToHeight="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28E8-8E74-4575-894E-94B9407C2D2A}">
  <dimension ref="A1"/>
  <sheetViews>
    <sheetView workbookViewId="0">
      <selection activeCell="B1" sqref="B1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530EC850DEE5418D3D4951FE095D87" ma:contentTypeVersion="10" ma:contentTypeDescription="Create a new document." ma:contentTypeScope="" ma:versionID="64e745d0a7d9276178ea1ab0fd2d9108">
  <xsd:schema xmlns:xsd="http://www.w3.org/2001/XMLSchema" xmlns:xs="http://www.w3.org/2001/XMLSchema" xmlns:p="http://schemas.microsoft.com/office/2006/metadata/properties" xmlns:ns3="5e7125b3-6246-449b-86db-3bc3f42e4862" targetNamespace="http://schemas.microsoft.com/office/2006/metadata/properties" ma:root="true" ma:fieldsID="a3fc79e39acf1f5ee441899aa8a7e827" ns3:_="">
    <xsd:import namespace="5e7125b3-6246-449b-86db-3bc3f42e486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7125b3-6246-449b-86db-3bc3f42e48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9CAA75-1A62-49B5-81B1-2AE7B8D4574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C0EBC7-E041-4AED-906E-0E3830A56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7125b3-6246-449b-86db-3bc3f42e48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8B8739-0E10-489E-ADF1-FCB692442D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Herbert Ingley</dc:creator>
  <cp:lastModifiedBy>Bell,Jackie M</cp:lastModifiedBy>
  <cp:lastPrinted>2023-02-12T16:34:26Z</cp:lastPrinted>
  <dcterms:created xsi:type="dcterms:W3CDTF">2018-02-19T16:57:16Z</dcterms:created>
  <dcterms:modified xsi:type="dcterms:W3CDTF">2026-02-13T18:15:17Z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0x010100E1530EC850DEE5418D3D4951FE095D87</vt:lpwstr>
  </property>
</Properties>
</file>