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4B5BD1CE-AF94-4B00-9492-8FC277696424}" xr6:coauthVersionLast="47" xr6:coauthVersionMax="47" xr10:uidLastSave="{00000000-0000-0000-0000-000000000000}"/>
  <bookViews>
    <workbookView xWindow="-28920" yWindow="-120" windowWidth="29040" windowHeight="15720" activeTab="3" xr2:uid="{344CEF82-2D3C-4B1C-BF8B-240F78A3E6CA}"/>
  </bookViews>
  <sheets>
    <sheet name="CFBV Data" sheetId="5" r:id="rId1"/>
    <sheet name="CFBT Data" sheetId="3" r:id="rId2"/>
    <sheet name="CFB Total Plot" sheetId="1" r:id="rId3"/>
    <sheet name="CFB Compute Plot" sheetId="7" r:id="rId4"/>
    <sheet name="CFB Graphics Plots" sheetId="8" r:id="rId5"/>
    <sheet name="CFB ALL Plots" sheetId="9" r:id="rId6"/>
  </sheets>
  <definedNames>
    <definedName name="_xleta.N" hidden="1" xlm="1">#NAME?</definedName>
    <definedName name="_xleta.SECOND" hidden="1" xlm="1">#NAME?</definedName>
    <definedName name="ExternalData_1" localSheetId="1" hidden="1">'CFBT Data'!$A$1:$O$26</definedName>
    <definedName name="ExternalData_1" localSheetId="0" hidden="1">'CFBV Data'!$A$1:$M$5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260A5B-2FD3-4460-879A-900CA1581E98}"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319B4239-6EB4-4827-A768-F61E0180261B}"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BFF96FB5-3340-4A89-B0EE-79695395E084}" keepAlive="1" name="Query - perfdataVerificationSummaryErrors" description="Connection to the 'perfdataVerificationSummaryErrors' query in the workbook." type="5" refreshedVersion="8" background="1" saveData="1">
    <dbPr connection="Provider=Microsoft.Mashup.OleDb.1;Data Source=$Workbook$;Location=perfdataVerificationSummaryErrors;Extended Properties=&quot;&quot;" command="SELECT * FROM [perfdataVerificationSummaryErrors]"/>
  </connection>
</connections>
</file>

<file path=xl/sharedStrings.xml><?xml version="1.0" encoding="utf-8"?>
<sst xmlns="http://schemas.openxmlformats.org/spreadsheetml/2006/main" count="57" uniqueCount="51">
  <si>
    <t>file_name</t>
  </si>
  <si>
    <t>file_count</t>
  </si>
  <si>
    <t>line_count</t>
  </si>
  <si>
    <t>expectedp</t>
  </si>
  <si>
    <t>loadedp</t>
  </si>
  <si>
    <t>shaderp_comp</t>
  </si>
  <si>
    <t>shaderp_grph</t>
  </si>
  <si>
    <t>expectedc</t>
  </si>
  <si>
    <t>shaderc</t>
  </si>
  <si>
    <t>loaded_err</t>
  </si>
  <si>
    <t>compp_err</t>
  </si>
  <si>
    <t>grphp_err</t>
  </si>
  <si>
    <t>coll_err</t>
  </si>
  <si>
    <t>C:/_DJ/gPCDData/perfDataPCDT/003CollisionDataSet117649X58824X12D.csv</t>
  </si>
  <si>
    <t>C:/_DJ/gPCDData/perfDataPCDT/009CollisionDataSet117649X58824X7D.csv</t>
  </si>
  <si>
    <t>C:/_DJ/gPCDData/perfDataPCDT/010CollisionDataSet117649X58824X7D.csv</t>
  </si>
  <si>
    <t>C:/_DJ/gPCDData/perfDataPCDT/020CollisionDataSet117649X58824X5D.csv</t>
  </si>
  <si>
    <t>Name</t>
  </si>
  <si>
    <t>fps</t>
  </si>
  <si>
    <t>cpums</t>
  </si>
  <si>
    <t>cms</t>
  </si>
  <si>
    <t>gms</t>
  </si>
  <si>
    <t>sidelen</t>
  </si>
  <si>
    <t>mean</t>
  </si>
  <si>
    <t>stddev</t>
  </si>
  <si>
    <t>000CollisionDataSet117649X58824X27</t>
  </si>
  <si>
    <t>001CollisionDataSet117649X58824X19</t>
  </si>
  <si>
    <t>002CollisionDataSet117649X58824X15</t>
  </si>
  <si>
    <t>003CollisionDataSet117649X58824X12</t>
  </si>
  <si>
    <t>004CollisionDataSet117649X58824X11</t>
  </si>
  <si>
    <t>005CollisionDataSet117649X58824X10</t>
  </si>
  <si>
    <t>006CollisionDataSet117649X58824X9</t>
  </si>
  <si>
    <t>007CollisionDataSet117649X58824X8</t>
  </si>
  <si>
    <t>008CollisionDataSet117649X58824X7</t>
  </si>
  <si>
    <t>009CollisionDataSet117649X58824X7</t>
  </si>
  <si>
    <t>010CollisionDataSet117649X58824X7</t>
  </si>
  <si>
    <t>011CollisionDataSet117649X58824X6</t>
  </si>
  <si>
    <t>012CollisionDataSet117649X58824X6</t>
  </si>
  <si>
    <t>013CollisionDataSet117649X58824X6</t>
  </si>
  <si>
    <t>014CollisionDataSet117649X58824X6</t>
  </si>
  <si>
    <t>015CollisionDataSet117649X58824X5</t>
  </si>
  <si>
    <t>016CollisionDataSet117649X58824X5</t>
  </si>
  <si>
    <t>017CollisionDataSet117649X58824X5</t>
  </si>
  <si>
    <t>018CollisionDataSet117649X58824X5</t>
  </si>
  <si>
    <t>019CollisionDataSet117649X58824X5</t>
  </si>
  <si>
    <t>020CollisionDataSet117649X58824X5</t>
  </si>
  <si>
    <t>021CollisionDataSet117649X58824X5</t>
  </si>
  <si>
    <t>022CollisionDataSet117649X58824X5</t>
  </si>
  <si>
    <t>023CollisionDataSet117649X58824X4</t>
  </si>
  <si>
    <t>024CollisionDataSet117649X58824X4</t>
  </si>
  <si>
    <t>cell_count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</si>
</sst>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PCD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9304483210890547"/>
                  <c:y val="-0.30442158922786566"/>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10248p</a:t>
                    </a:r>
                    <a:r>
                      <a:rPr lang="en-US" sz="1400" baseline="30000"/>
                      <a:t>-0.857</a:t>
                    </a:r>
                    <a:br>
                      <a:rPr lang="en-US" sz="1400" baseline="0"/>
                    </a:br>
                    <a:r>
                      <a:rPr lang="en-US" sz="1400" baseline="0"/>
                      <a:t>R² = 0.9923</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Data'!$B$2:$B$26</c:f>
              <c:numCache>
                <c:formatCode>General</c:formatCode>
                <c:ptCount val="25"/>
                <c:pt idx="0">
                  <c:v>1498.6</c:v>
                </c:pt>
                <c:pt idx="1">
                  <c:v>646.66800000000001</c:v>
                </c:pt>
                <c:pt idx="2">
                  <c:v>334.971</c:v>
                </c:pt>
                <c:pt idx="3">
                  <c:v>192.58799999999999</c:v>
                </c:pt>
                <c:pt idx="4">
                  <c:v>116.26600000000001</c:v>
                </c:pt>
                <c:pt idx="5">
                  <c:v>73.135900000000007</c:v>
                </c:pt>
                <c:pt idx="6">
                  <c:v>49.094499999999996</c:v>
                </c:pt>
                <c:pt idx="7">
                  <c:v>35.512</c:v>
                </c:pt>
                <c:pt idx="8">
                  <c:v>25.8126</c:v>
                </c:pt>
                <c:pt idx="9">
                  <c:v>19.989899999999999</c:v>
                </c:pt>
                <c:pt idx="10">
                  <c:v>15.3184</c:v>
                </c:pt>
                <c:pt idx="11">
                  <c:v>12.020300000000001</c:v>
                </c:pt>
                <c:pt idx="12">
                  <c:v>10.269</c:v>
                </c:pt>
                <c:pt idx="13">
                  <c:v>8.5961499999999997</c:v>
                </c:pt>
                <c:pt idx="14">
                  <c:v>7.5815400000000004</c:v>
                </c:pt>
                <c:pt idx="15">
                  <c:v>6.4158099999999996</c:v>
                </c:pt>
                <c:pt idx="16">
                  <c:v>5.7243000000000004</c:v>
                </c:pt>
                <c:pt idx="17">
                  <c:v>5.1013299999999999</c:v>
                </c:pt>
                <c:pt idx="18">
                  <c:v>4.9309200000000004</c:v>
                </c:pt>
                <c:pt idx="19">
                  <c:v>4.18553</c:v>
                </c:pt>
                <c:pt idx="20">
                  <c:v>3.4526300000000001</c:v>
                </c:pt>
                <c:pt idx="21">
                  <c:v>3.7162999999999999</c:v>
                </c:pt>
                <c:pt idx="22">
                  <c:v>3.3100700000000001</c:v>
                </c:pt>
                <c:pt idx="23">
                  <c:v>2.9907300000000001</c:v>
                </c:pt>
                <c:pt idx="24">
                  <c:v>2.68031</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populated cells (p)</a:t>
                </a:r>
              </a:p>
            </c:rich>
          </c:tx>
          <c:layout>
            <c:manualLayout>
              <c:xMode val="edge"/>
              <c:yMode val="edge"/>
              <c:x val="0.43254855801890618"/>
              <c:y val="0.9120824435157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PCD</a:t>
            </a:r>
            <a:r>
              <a:rPr lang="en-US" baseline="0"/>
              <a:t> fps</a:t>
            </a:r>
            <a:r>
              <a:rPr lang="en-US"/>
              <a:t>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PCD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4846262434369912"/>
                  <c:y val="0.1215059732538482"/>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2E-09p</a:t>
                    </a:r>
                    <a:r>
                      <a:rPr lang="en-US" sz="1400" baseline="30000"/>
                      <a:t>2</a:t>
                    </a:r>
                    <a:r>
                      <a:rPr lang="en-US" sz="1400" baseline="0"/>
                      <a:t> + 4E-05p - 0.0044</a:t>
                    </a:r>
                    <a:br>
                      <a:rPr lang="en-US" sz="1400" baseline="0"/>
                    </a:br>
                    <a:r>
                      <a:rPr lang="en-US" sz="1400" baseline="0"/>
                      <a:t>R² = 0.9805</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Data'!$C$2:$C$26</c:f>
              <c:numCache>
                <c:formatCode>General</c:formatCode>
                <c:ptCount val="25"/>
                <c:pt idx="0">
                  <c:v>7.7238700000000003E-4</c:v>
                </c:pt>
                <c:pt idx="1">
                  <c:v>1.61973E-3</c:v>
                </c:pt>
                <c:pt idx="2">
                  <c:v>3.4038599999999999E-3</c:v>
                </c:pt>
                <c:pt idx="3">
                  <c:v>5.4586599999999997E-3</c:v>
                </c:pt>
                <c:pt idx="4">
                  <c:v>9.1050799999999998E-3</c:v>
                </c:pt>
                <c:pt idx="5">
                  <c:v>1.5194900000000001E-2</c:v>
                </c:pt>
                <c:pt idx="6">
                  <c:v>2.1521499999999999E-2</c:v>
                </c:pt>
                <c:pt idx="7">
                  <c:v>3.0778900000000001E-2</c:v>
                </c:pt>
                <c:pt idx="8">
                  <c:v>4.1963399999999998E-2</c:v>
                </c:pt>
                <c:pt idx="9">
                  <c:v>5.34812E-2</c:v>
                </c:pt>
                <c:pt idx="10">
                  <c:v>7.2490499999999999E-2</c:v>
                </c:pt>
                <c:pt idx="11">
                  <c:v>0.101922</c:v>
                </c:pt>
                <c:pt idx="12">
                  <c:v>0.115957</c:v>
                </c:pt>
                <c:pt idx="13">
                  <c:v>0.14374100000000001</c:v>
                </c:pt>
                <c:pt idx="14">
                  <c:v>0.180982</c:v>
                </c:pt>
                <c:pt idx="15">
                  <c:v>0.22162299999999999</c:v>
                </c:pt>
                <c:pt idx="16">
                  <c:v>0.29670000000000002</c:v>
                </c:pt>
                <c:pt idx="17">
                  <c:v>0.36518699999999998</c:v>
                </c:pt>
                <c:pt idx="18">
                  <c:v>0.40918599999999999</c:v>
                </c:pt>
                <c:pt idx="19">
                  <c:v>0.51599499999999998</c:v>
                </c:pt>
                <c:pt idx="20">
                  <c:v>0.64237200000000005</c:v>
                </c:pt>
                <c:pt idx="21">
                  <c:v>0.72358500000000003</c:v>
                </c:pt>
                <c:pt idx="22">
                  <c:v>1.1607000000000001</c:v>
                </c:pt>
                <c:pt idx="23">
                  <c:v>1.15021</c:v>
                </c:pt>
                <c:pt idx="24">
                  <c:v>1.2122999999999999</c:v>
                </c:pt>
              </c:numCache>
            </c:numRef>
          </c:yVal>
          <c:smooth val="1"/>
          <c:extLst>
            <c:ext xmlns:c16="http://schemas.microsoft.com/office/drawing/2014/chart" uri="{C3380CC4-5D6E-409C-BE32-E72D297353CC}">
              <c16:uniqueId val="{00000001-9453-4025-A550-57EAC11B6D97}"/>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rPr>
                  <a:t>Number of populated cells (p)</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Seconds per Frme t</a:t>
                </a:r>
                <a:r>
                  <a:rPr lang="en-US" baseline="0"/>
                  <a:t> (s)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026143102888849"/>
                  <c:y val="1.865749331332096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collisions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PCD Graphics SPF - Linear Terndline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PCD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223033777615345E-2"/>
                  <c:y val="-0.14283266943209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Data'!$E$2:$E$32</c:f>
              <c:numCache>
                <c:formatCode>General</c:formatCode>
                <c:ptCount val="31"/>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layout>
        <c:manualLayout>
          <c:xMode val="edge"/>
          <c:yMode val="edge"/>
          <c:x val="0.31946290701577706"/>
          <c:y val="1.2383900928792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CFB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Data'!$E$2:$E$26</c:f>
              <c:numCache>
                <c:formatCode>General</c:formatCode>
                <c:ptCount val="25"/>
                <c:pt idx="0">
                  <c:v>7.8975999999999997E-5</c:v>
                </c:pt>
                <c:pt idx="1">
                  <c:v>8.9344000000000004E-5</c:v>
                </c:pt>
                <c:pt idx="2">
                  <c:v>1.1072E-4</c:v>
                </c:pt>
                <c:pt idx="3">
                  <c:v>9.2095999999999994E-5</c:v>
                </c:pt>
                <c:pt idx="4">
                  <c:v>8.1568000000000002E-5</c:v>
                </c:pt>
                <c:pt idx="5">
                  <c:v>1.10976E-4</c:v>
                </c:pt>
                <c:pt idx="6">
                  <c:v>1.12608E-4</c:v>
                </c:pt>
                <c:pt idx="7">
                  <c:v>9.3312000000000004E-5</c:v>
                </c:pt>
                <c:pt idx="8">
                  <c:v>8.4543999999999996E-5</c:v>
                </c:pt>
                <c:pt idx="9">
                  <c:v>9.4623999999999994E-5</c:v>
                </c:pt>
                <c:pt idx="10">
                  <c:v>1.05344E-4</c:v>
                </c:pt>
                <c:pt idx="11">
                  <c:v>1.13632E-4</c:v>
                </c:pt>
                <c:pt idx="12">
                  <c:v>1.0416000000000001E-4</c:v>
                </c:pt>
                <c:pt idx="13">
                  <c:v>8.7775999999999994E-5</c:v>
                </c:pt>
                <c:pt idx="14">
                  <c:v>1.13856E-4</c:v>
                </c:pt>
                <c:pt idx="15">
                  <c:v>8.9664000000000001E-5</c:v>
                </c:pt>
                <c:pt idx="16">
                  <c:v>9.3696000000000006E-5</c:v>
                </c:pt>
                <c:pt idx="17">
                  <c:v>9.2479999999999995E-5</c:v>
                </c:pt>
                <c:pt idx="18">
                  <c:v>1.15488E-4</c:v>
                </c:pt>
                <c:pt idx="19">
                  <c:v>1.12224E-4</c:v>
                </c:pt>
                <c:pt idx="20">
                  <c:v>1.06048E-4</c:v>
                </c:pt>
                <c:pt idx="21">
                  <c:v>1.06752E-4</c:v>
                </c:pt>
                <c:pt idx="22">
                  <c:v>1.18304E-4</c:v>
                </c:pt>
                <c:pt idx="23">
                  <c:v>9.5935999999999998E-5</c:v>
                </c:pt>
                <c:pt idx="24">
                  <c:v>1.10464E-4</c:v>
                </c:pt>
              </c:numCache>
            </c:numRef>
          </c:yVal>
          <c:smooth val="1"/>
          <c:extLst>
            <c:ext xmlns:c16="http://schemas.microsoft.com/office/drawing/2014/chart" uri="{C3380CC4-5D6E-409C-BE32-E72D297353CC}">
              <c16:uniqueId val="{00000001-1561-4D4C-8EBC-A3E6CD383525}"/>
            </c:ext>
          </c:extLst>
        </c:ser>
        <c:ser>
          <c:idx val="1"/>
          <c:order val="1"/>
          <c:tx>
            <c:v>CFB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Data'!$D$2:$D$26</c:f>
              <c:numCache>
                <c:formatCode>General</c:formatCode>
                <c:ptCount val="25"/>
                <c:pt idx="0">
                  <c:v>4.0793600000000002E-4</c:v>
                </c:pt>
                <c:pt idx="1">
                  <c:v>1.2139500000000001E-3</c:v>
                </c:pt>
                <c:pt idx="2">
                  <c:v>3.5688999999999999E-3</c:v>
                </c:pt>
                <c:pt idx="3">
                  <c:v>5.1553900000000001E-3</c:v>
                </c:pt>
                <c:pt idx="4">
                  <c:v>8.3436499999999993E-3</c:v>
                </c:pt>
                <c:pt idx="5">
                  <c:v>1.62624E-2</c:v>
                </c:pt>
                <c:pt idx="6">
                  <c:v>2.1607899999999999E-2</c:v>
                </c:pt>
                <c:pt idx="7">
                  <c:v>2.8241499999999999E-2</c:v>
                </c:pt>
                <c:pt idx="8">
                  <c:v>3.91711E-2</c:v>
                </c:pt>
                <c:pt idx="9">
                  <c:v>5.2258100000000002E-2</c:v>
                </c:pt>
                <c:pt idx="10">
                  <c:v>7.0847400000000005E-2</c:v>
                </c:pt>
                <c:pt idx="11">
                  <c:v>9.5804399999999998E-2</c:v>
                </c:pt>
                <c:pt idx="12">
                  <c:v>0.11412899999999999</c:v>
                </c:pt>
                <c:pt idx="13">
                  <c:v>0.13778699999999999</c:v>
                </c:pt>
                <c:pt idx="14">
                  <c:v>0.166265</c:v>
                </c:pt>
                <c:pt idx="15">
                  <c:v>0.19367999999999999</c:v>
                </c:pt>
                <c:pt idx="16">
                  <c:v>0.23614099999999999</c:v>
                </c:pt>
                <c:pt idx="17">
                  <c:v>0.29460799999999998</c:v>
                </c:pt>
                <c:pt idx="18">
                  <c:v>0.33643099999999998</c:v>
                </c:pt>
                <c:pt idx="19">
                  <c:v>0.39821200000000001</c:v>
                </c:pt>
                <c:pt idx="20">
                  <c:v>0.42266599999999999</c:v>
                </c:pt>
                <c:pt idx="21">
                  <c:v>0.53114399999999995</c:v>
                </c:pt>
                <c:pt idx="22">
                  <c:v>0.60307500000000003</c:v>
                </c:pt>
                <c:pt idx="23">
                  <c:v>0.62242500000000001</c:v>
                </c:pt>
                <c:pt idx="24">
                  <c:v>0.71146699999999996</c:v>
                </c:pt>
              </c:numCache>
            </c:numRef>
          </c:yVal>
          <c:smooth val="1"/>
          <c:extLst>
            <c:ext xmlns:c16="http://schemas.microsoft.com/office/drawing/2014/chart" uri="{C3380CC4-5D6E-409C-BE32-E72D297353CC}">
              <c16:uniqueId val="{00000003-1561-4D4C-8EBC-A3E6CD383525}"/>
            </c:ext>
          </c:extLst>
        </c:ser>
        <c:ser>
          <c:idx val="2"/>
          <c:order val="2"/>
          <c:tx>
            <c:v>CFB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'CFBT Data'!$M$2:$M$26</c:f>
              <c:numCache>
                <c:formatCode>General</c:formatCode>
                <c:ptCount val="25"/>
                <c:pt idx="0">
                  <c:v>8</c:v>
                </c:pt>
                <c:pt idx="1">
                  <c:v>27</c:v>
                </c:pt>
                <c:pt idx="2">
                  <c:v>64</c:v>
                </c:pt>
                <c:pt idx="3">
                  <c:v>125</c:v>
                </c:pt>
                <c:pt idx="4">
                  <c:v>216</c:v>
                </c:pt>
                <c:pt idx="5">
                  <c:v>343</c:v>
                </c:pt>
                <c:pt idx="6">
                  <c:v>512</c:v>
                </c:pt>
                <c:pt idx="7">
                  <c:v>729</c:v>
                </c:pt>
                <c:pt idx="8">
                  <c:v>1000</c:v>
                </c:pt>
                <c:pt idx="9">
                  <c:v>1331</c:v>
                </c:pt>
                <c:pt idx="10">
                  <c:v>1728</c:v>
                </c:pt>
                <c:pt idx="11">
                  <c:v>2197</c:v>
                </c:pt>
                <c:pt idx="12">
                  <c:v>2744</c:v>
                </c:pt>
                <c:pt idx="13">
                  <c:v>3375</c:v>
                </c:pt>
                <c:pt idx="14">
                  <c:v>4096</c:v>
                </c:pt>
                <c:pt idx="15">
                  <c:v>4913</c:v>
                </c:pt>
                <c:pt idx="16">
                  <c:v>5832</c:v>
                </c:pt>
                <c:pt idx="17">
                  <c:v>6859</c:v>
                </c:pt>
                <c:pt idx="18">
                  <c:v>8000</c:v>
                </c:pt>
                <c:pt idx="19">
                  <c:v>9261</c:v>
                </c:pt>
                <c:pt idx="20">
                  <c:v>10648</c:v>
                </c:pt>
                <c:pt idx="21">
                  <c:v>12167</c:v>
                </c:pt>
                <c:pt idx="22">
                  <c:v>13824</c:v>
                </c:pt>
                <c:pt idx="23">
                  <c:v>15625</c:v>
                </c:pt>
                <c:pt idx="24">
                  <c:v>17576</c:v>
                </c:pt>
              </c:numCache>
            </c:numRef>
          </c:xVal>
          <c:yVal>
            <c:numRef>
              <c:f>'CFBT Data'!$C$2:$C$32</c:f>
              <c:numCache>
                <c:formatCode>General</c:formatCode>
                <c:ptCount val="31"/>
                <c:pt idx="0">
                  <c:v>7.7238700000000003E-4</c:v>
                </c:pt>
                <c:pt idx="1">
                  <c:v>1.61973E-3</c:v>
                </c:pt>
                <c:pt idx="2">
                  <c:v>3.4038599999999999E-3</c:v>
                </c:pt>
                <c:pt idx="3">
                  <c:v>5.4586599999999997E-3</c:v>
                </c:pt>
                <c:pt idx="4">
                  <c:v>9.1050799999999998E-3</c:v>
                </c:pt>
                <c:pt idx="5">
                  <c:v>1.5194900000000001E-2</c:v>
                </c:pt>
                <c:pt idx="6">
                  <c:v>2.1521499999999999E-2</c:v>
                </c:pt>
                <c:pt idx="7">
                  <c:v>3.0778900000000001E-2</c:v>
                </c:pt>
                <c:pt idx="8">
                  <c:v>4.1963399999999998E-2</c:v>
                </c:pt>
                <c:pt idx="9">
                  <c:v>5.34812E-2</c:v>
                </c:pt>
                <c:pt idx="10">
                  <c:v>7.2490499999999999E-2</c:v>
                </c:pt>
                <c:pt idx="11">
                  <c:v>0.101922</c:v>
                </c:pt>
                <c:pt idx="12">
                  <c:v>0.115957</c:v>
                </c:pt>
                <c:pt idx="13">
                  <c:v>0.14374100000000001</c:v>
                </c:pt>
                <c:pt idx="14">
                  <c:v>0.180982</c:v>
                </c:pt>
                <c:pt idx="15">
                  <c:v>0.22162299999999999</c:v>
                </c:pt>
                <c:pt idx="16">
                  <c:v>0.29670000000000002</c:v>
                </c:pt>
                <c:pt idx="17">
                  <c:v>0.36518699999999998</c:v>
                </c:pt>
                <c:pt idx="18">
                  <c:v>0.40918599999999999</c:v>
                </c:pt>
                <c:pt idx="19">
                  <c:v>0.51599499999999998</c:v>
                </c:pt>
                <c:pt idx="20">
                  <c:v>0.64237200000000005</c:v>
                </c:pt>
                <c:pt idx="21">
                  <c:v>0.72358500000000003</c:v>
                </c:pt>
                <c:pt idx="22">
                  <c:v>1.1607000000000001</c:v>
                </c:pt>
                <c:pt idx="23">
                  <c:v>1.15021</c:v>
                </c:pt>
                <c:pt idx="24">
                  <c:v>1.2122999999999999</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60010879304739473"/>
          <c:y val="0.64897068980928463"/>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219075</xdr:colOff>
      <xdr:row>6</xdr:row>
      <xdr:rowOff>76200</xdr:rowOff>
    </xdr:from>
    <xdr:to>
      <xdr:col>4</xdr:col>
      <xdr:colOff>180976</xdr:colOff>
      <xdr:row>24</xdr:row>
      <xdr:rowOff>133349</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219075" y="1219200"/>
          <a:ext cx="7077076" cy="3486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particle</a:t>
          </a:r>
          <a:r>
            <a:rPr lang="en-US" sz="1400" baseline="0"/>
            <a:t> cell density tests . We start with a large number of cells with a few particles per cell (8ppc). The we decrease the number of cells while increseing the number pf particles per cell. We stop when the frame rate is less than 2fps.</a:t>
          </a:r>
        </a:p>
        <a:p>
          <a:endParaRPr lang="en-US" sz="1400" baseline="0"/>
        </a:p>
        <a:p>
          <a:r>
            <a:rPr lang="en-US" sz="1400" baseline="0"/>
            <a:t>The verification set </a:t>
          </a:r>
          <a:r>
            <a:rPr lang="en-US" sz="1400">
              <a:solidFill>
                <a:schemeClr val="dk1"/>
              </a:solidFill>
              <a:effectLst/>
              <a:latin typeface="+mn-lt"/>
              <a:ea typeface="+mn-ea"/>
              <a:cs typeface="+mn-cs"/>
            </a:rPr>
            <a:t>detemines</a:t>
          </a:r>
          <a:r>
            <a:rPr lang="en-US" sz="1400" baseline="0">
              <a:solidFill>
                <a:schemeClr val="dk1"/>
              </a:solidFill>
              <a:effectLst/>
              <a:latin typeface="+mn-lt"/>
              <a:ea typeface="+mn-ea"/>
              <a:cs typeface="+mn-cs"/>
            </a:rPr>
            <a:t> if the expected number of particles(expectedp) is equal to the numer of particles loaded (loaededp) by the CPU (Vulkan),the number of particles processed by the compute pipline (shaderp_comp), and the number of particles processed by the graphics pipline (shaderp_grph) .</a:t>
          </a:r>
          <a:endParaRPr lang="en-US" sz="1800">
            <a:effectLst/>
          </a:endParaRPr>
        </a:p>
        <a:p>
          <a:r>
            <a:rPr lang="en-US" sz="1400" baseline="0"/>
            <a:t> </a:t>
          </a:r>
        </a:p>
        <a:p>
          <a:r>
            <a:rPr lang="en-US" sz="1400" baseline="0"/>
            <a:t>There were 2 collison count errors which is due to a bug in the utility that generates the data sets. The correct number of collsions is captured by the PCD software.  The other 2 errors did not report the correct number of particles but did report the correct number of collsions. </a:t>
          </a:r>
        </a:p>
        <a:p>
          <a:endParaRPr lang="en-US" sz="14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19051</xdr:colOff>
      <xdr:row>1</xdr:row>
      <xdr:rowOff>19050</xdr:rowOff>
    </xdr:from>
    <xdr:to>
      <xdr:col>12</xdr:col>
      <xdr:colOff>28576</xdr:colOff>
      <xdr:row>30</xdr:row>
      <xdr:rowOff>76200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6829426" y="209550"/>
          <a:ext cx="4362450"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cell density performance with timers (PCDT).  The</a:t>
          </a:r>
          <a:r>
            <a:rPr lang="en-US" sz="1400" baseline="0"/>
            <a:t> utility reads each of the perfromance output files : </a:t>
          </a:r>
        </a:p>
        <a:p>
          <a:r>
            <a:rPr lang="en-US" sz="1400" baseline="0"/>
            <a:t>C:\_DJ\gPCDData\perfDataPCDST\*.R.csv </a:t>
          </a:r>
        </a:p>
        <a:p>
          <a:r>
            <a:rPr lang="en-US" sz="1400"/>
            <a:t>and detemines</a:t>
          </a:r>
          <a:r>
            <a:rPr lang="en-US" sz="1400" baseline="0"/>
            <a:t> the max value and records it in a line.</a:t>
          </a:r>
        </a:p>
        <a:p>
          <a:endParaRPr lang="en-US" sz="1400"/>
        </a:p>
        <a:p>
          <a:r>
            <a:rPr lang="en-US" sz="1400"/>
            <a:t>The debug information exchaged</a:t>
          </a:r>
          <a:r>
            <a:rPr lang="en-US" sz="1400" baseline="0"/>
            <a:t> between the CPU-GPU is turned off (this information is used during the verification process but slows performance down. So we need to turn that off to get perfromance numbers).</a:t>
          </a:r>
        </a:p>
        <a:p>
          <a:endParaRPr lang="en-US" sz="1400"/>
        </a:p>
        <a:p>
          <a:r>
            <a:rPr lang="en-US" sz="1400"/>
            <a:t>The 'S 'stands for sequentialially</a:t>
          </a:r>
          <a:r>
            <a:rPr lang="en-US" sz="1400" baseline="0"/>
            <a:t> numbered particles. This means that cells will contain particles that are very close to each other in memory. This will not tax the caches as much as randdom particles occupying a cell (that will be in another test coming up).</a:t>
          </a:r>
        </a:p>
        <a:p>
          <a:endParaRPr lang="en-US" sz="1400" baseline="0"/>
        </a:p>
        <a:p>
          <a:r>
            <a:rPr lang="en-US" sz="1400" baseline="0"/>
            <a:t>Also, the 'T' stands for the device timers being on. This slows the overall performance at the higher frame rates, but tells us how fast the compute and graphics piplines are working.</a:t>
          </a:r>
        </a:p>
        <a:p>
          <a:endParaRPr lang="en-US" sz="1400" baseline="0"/>
        </a:p>
        <a:p>
          <a:r>
            <a:rPr lang="en-US" sz="1400" baseline="0"/>
            <a:t>We use the "T" test even though it is slower becasue we are trying to get the profile of the performance and not the absoutle maximum performance.</a:t>
          </a:r>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57978</xdr:colOff>
      <xdr:row>0</xdr:row>
      <xdr:rowOff>165652</xdr:rowOff>
    </xdr:from>
    <xdr:to>
      <xdr:col>17</xdr:col>
      <xdr:colOff>551207</xdr:colOff>
      <xdr:row>19</xdr:row>
      <xdr:rowOff>42655</xdr:rowOff>
    </xdr:to>
    <xdr:graphicFrame macro="">
      <xdr:nvGraphicFramePr>
        <xdr:cNvPr id="2" name="Chart 1">
          <a:extLst>
            <a:ext uri="{FF2B5EF4-FFF2-40B4-BE49-F238E27FC236}">
              <a16:creationId xmlns:a16="http://schemas.microsoft.com/office/drawing/2014/main" id="{B77A6604-C7AF-44A4-A5D5-30BDFD45D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140804</xdr:colOff>
      <xdr:row>18</xdr:row>
      <xdr:rowOff>82826</xdr:rowOff>
    </xdr:from>
    <xdr:to>
      <xdr:col>16</xdr:col>
      <xdr:colOff>557005</xdr:colOff>
      <xdr:row>47</xdr:row>
      <xdr:rowOff>139976</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753717" y="3511826"/>
          <a:ext cx="9609897"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-sequential (PCDST) overall results. </a:t>
          </a:r>
        </a:p>
        <a:p>
          <a:endParaRPr lang="en-US" sz="1400"/>
        </a:p>
        <a:p>
          <a:r>
            <a:rPr lang="en-US" sz="1400" baseline="0"/>
            <a:t>Fig 1 is the frame rate vs number of cells (fps v p).</a:t>
          </a:r>
        </a:p>
        <a:p>
          <a:r>
            <a:rPr lang="en-US" sz="1400" baseline="0"/>
            <a:t>Fig 2 -3 - 4 are the time rate vs number of cells(spf v p ) with differnet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aseline="0"/>
            <a:t>Fig 4 is a sublinear fit.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447262</xdr:colOff>
      <xdr:row>1</xdr:row>
      <xdr:rowOff>107673</xdr:rowOff>
    </xdr:from>
    <xdr:to>
      <xdr:col>17</xdr:col>
      <xdr:colOff>68332</xdr:colOff>
      <xdr:row>30</xdr:row>
      <xdr:rowOff>164823</xdr:rowOff>
    </xdr:to>
    <xdr:sp macro="" textlink="">
      <xdr:nvSpPr>
        <xdr:cNvPr id="6" name="TextBox 5">
          <a:extLst>
            <a:ext uri="{FF2B5EF4-FFF2-40B4-BE49-F238E27FC236}">
              <a16:creationId xmlns:a16="http://schemas.microsoft.com/office/drawing/2014/main" id="{F3C80FDE-9BE0-45D5-B4A2-69C1A016D204}"/>
            </a:ext>
          </a:extLst>
        </xdr:cNvPr>
        <xdr:cNvSpPr txBox="1"/>
      </xdr:nvSpPr>
      <xdr:spPr>
        <a:xfrm>
          <a:off x="5963479" y="298173"/>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compute</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1E-9 Same as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397566</xdr:colOff>
      <xdr:row>2</xdr:row>
      <xdr:rowOff>33130</xdr:rowOff>
    </xdr:from>
    <xdr:to>
      <xdr:col>18</xdr:col>
      <xdr:colOff>18636</xdr:colOff>
      <xdr:row>31</xdr:row>
      <xdr:rowOff>90280</xdr:rowOff>
    </xdr:to>
    <xdr:sp macro="" textlink="">
      <xdr:nvSpPr>
        <xdr:cNvPr id="5" name="TextBox 4">
          <a:extLst>
            <a:ext uri="{FF2B5EF4-FFF2-40B4-BE49-F238E27FC236}">
              <a16:creationId xmlns:a16="http://schemas.microsoft.com/office/drawing/2014/main" id="{08837638-E0CA-4ACF-B1B7-61860449860C}"/>
            </a:ext>
          </a:extLst>
        </xdr:cNvPr>
        <xdr:cNvSpPr txBox="1"/>
      </xdr:nvSpPr>
      <xdr:spPr>
        <a:xfrm>
          <a:off x="6526696" y="41413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p</a:t>
          </a:r>
          <a:r>
            <a:rPr lang="en-US" sz="1400"/>
            <a:t>article quantity benchmark for the graphics</a:t>
          </a:r>
          <a:r>
            <a:rPr lang="en-US" sz="1400" baseline="0"/>
            <a:t> pipline. It is </a:t>
          </a:r>
          <a:r>
            <a:rPr lang="en-US" sz="1400"/>
            <a:t>sequential with internal timers (PQBST) overall results. </a:t>
          </a:r>
        </a:p>
        <a:p>
          <a:endParaRPr lang="en-US" sz="1400"/>
        </a:p>
        <a:p>
          <a:r>
            <a:rPr lang="en-US" sz="1400"/>
            <a:t>This is</a:t>
          </a:r>
          <a:r>
            <a:rPr lang="en-US" sz="1400" baseline="0"/>
            <a:t> the highest performing arrangment. This data is not reported since a more realistic measure of performance is when the particles are randomly positoned. That will be the next plots.</a:t>
          </a:r>
        </a:p>
        <a:p>
          <a:endParaRPr lang="en-US" sz="1400" baseline="0"/>
        </a:p>
        <a:p>
          <a:r>
            <a:rPr lang="en-US" sz="1400" baseline="0"/>
            <a:t>There is variation in the data points unlike the overall and compute.</a:t>
          </a:r>
        </a:p>
        <a:p>
          <a:endParaRPr lang="en-US" sz="1400" baseline="0"/>
        </a:p>
        <a:p>
          <a:r>
            <a:rPr lang="en-US" sz="1400" baseline="0"/>
            <a:t>Fig 1-2 -3 are the time rate vs number of particles (spf v n) with differenet trendlines.</a:t>
          </a:r>
        </a:p>
        <a:p>
          <a:endParaRPr lang="en-US" sz="1400" baseline="0"/>
        </a:p>
        <a:p>
          <a:r>
            <a:rPr lang="en-US" sz="1400" baseline="0"/>
            <a:t>Fig 2 is a linear fit with base cost (K) on the order of 1E-10 (better than compute and overall).</a:t>
          </a:r>
        </a:p>
        <a:p>
          <a:r>
            <a:rPr lang="en-US" sz="1400" baseline="0"/>
            <a:t>Fig 3 is a quadratic polynomial fit on the order of  K=1E-18 (Same as overall).</a:t>
          </a:r>
        </a:p>
        <a:p>
          <a:r>
            <a:rPr lang="en-US" sz="1400" baseline="0"/>
            <a:t>Fig 4 is a sublinear fit same as overall. Does this mean that the system outperfoms sublinear up to abour 2.0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211A6871-1698-44F7-BAEA-D699E5883BE9}" autoFormatId="16" applyNumberFormats="0" applyBorderFormats="0" applyFontFormats="0" applyPatternFormats="0" applyAlignmentFormats="0" applyWidthHeightFormats="0">
  <queryTableRefresh nextId="14">
    <queryTableFields count="13">
      <queryTableField id="1" name="file_name" tableColumnId="1"/>
      <queryTableField id="2" name="file_count" tableColumnId="2"/>
      <queryTableField id="3" name="line_count" tableColumnId="3"/>
      <queryTableField id="4" name="expectedp" tableColumnId="4"/>
      <queryTableField id="5" name="loadedp" tableColumnId="5"/>
      <queryTableField id="6" name="shaderp_comp" tableColumnId="6"/>
      <queryTableField id="7" name="shaderp_grph" tableColumnId="7"/>
      <queryTableField id="8" name="expectedc" tableColumnId="8"/>
      <queryTableField id="9" name="shaderc" tableColumnId="9"/>
      <queryTableField id="10" name="loaded_err" tableColumnId="10"/>
      <queryTableField id="11" name="compp_err" tableColumnId="11"/>
      <queryTableField id="12" name="grphp_err" tableColumnId="12"/>
      <queryTableField id="13" name="coll_err"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A698AA4A-5E16-48F3-8E6F-FABD95813153}" autoFormatId="16" applyNumberFormats="0" applyBorderFormats="0" applyFontFormats="0" applyPatternFormats="0" applyAlignmentFormats="0" applyWidthHeightFormats="0">
  <queryTableRefresh nextId="16">
    <queryTableFields count="15">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cell_count" tableColumnId="13"/>
      <queryTableField id="14" name="mean" tableColumnId="14"/>
      <queryTableField id="15" name="stddev"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5EC5BD-C4CE-43B2-BECA-2E96FDB7CFBB}" name="perfdataVerificationSummaryErrors" displayName="perfdataVerificationSummaryErrors" ref="A1:M5" tableType="queryTable" totalsRowShown="0">
  <autoFilter ref="A1:M5" xr:uid="{1B5EC5BD-C4CE-43B2-BECA-2E96FDB7CFBB}"/>
  <tableColumns count="13">
    <tableColumn id="1" xr3:uid="{CFC3F1BD-9B01-4860-9F17-E2A4AF22EA53}" uniqueName="1" name="file_name" queryTableFieldId="1" dataDxfId="1"/>
    <tableColumn id="2" xr3:uid="{9A2F1CB6-D63A-4369-A4D8-71A32EEFDB31}" uniqueName="2" name="file_count" queryTableFieldId="2"/>
    <tableColumn id="3" xr3:uid="{BD31FD14-A885-40A6-8E84-4CE3C933183C}" uniqueName="3" name="line_count" queryTableFieldId="3"/>
    <tableColumn id="4" xr3:uid="{630F0565-4EE8-4684-A4D9-83B7535058F4}" uniqueName="4" name="expectedp" queryTableFieldId="4"/>
    <tableColumn id="5" xr3:uid="{BBB45079-698C-4688-AD50-191B5F104539}" uniqueName="5" name="loadedp" queryTableFieldId="5"/>
    <tableColumn id="6" xr3:uid="{C42B7576-9BE4-4017-9361-28067F3AEB27}" uniqueName="6" name="shaderp_comp" queryTableFieldId="6"/>
    <tableColumn id="7" xr3:uid="{BA0D667A-2E14-4A98-98A5-189F576F40BF}" uniqueName="7" name="shaderp_grph" queryTableFieldId="7"/>
    <tableColumn id="8" xr3:uid="{DDEFAFD4-EB69-4867-BA23-3D95D2EC73BE}" uniqueName="8" name="expectedc" queryTableFieldId="8"/>
    <tableColumn id="9" xr3:uid="{56270590-24C8-453E-8F2A-D23787A94A41}" uniqueName="9" name="shaderc" queryTableFieldId="9"/>
    <tableColumn id="10" xr3:uid="{26CDB7E9-56BA-4F29-915E-C907F477BCB7}" uniqueName="10" name="loaded_err" queryTableFieldId="10"/>
    <tableColumn id="11" xr3:uid="{689C4B9C-76B6-4816-A018-193D3FB24710}" uniqueName="11" name="compp_err" queryTableFieldId="11"/>
    <tableColumn id="12" xr3:uid="{74F7EAFA-D65D-4E8D-BF9B-90A04906C8A3}" uniqueName="12" name="grphp_err" queryTableFieldId="12"/>
    <tableColumn id="13" xr3:uid="{AA5AB25F-B7C7-4457-95FD-EBAEF5E59079}" uniqueName="13" name="coll_err" queryTableField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927D38-8837-4F35-B865-770375D0654B}" name="perfdataPerformanceSummary__2" displayName="perfdataPerformanceSummary__2" ref="A1:O26" tableType="queryTable" totalsRowShown="0">
  <autoFilter ref="A1:O26" xr:uid="{34927D38-8837-4F35-B865-770375D0654B}"/>
  <tableColumns count="15">
    <tableColumn id="1" xr3:uid="{16C68E26-7BCC-4760-8EF5-86EB28E7132E}" uniqueName="1" name="Name" queryTableFieldId="1" dataDxfId="0"/>
    <tableColumn id="2" xr3:uid="{84205CB3-75F0-4A29-B0DC-1B5E7F0E5C05}" uniqueName="2" name="fps" queryTableFieldId="2"/>
    <tableColumn id="3" xr3:uid="{90081B1A-4775-4D59-83A9-79A4717B0AB0}" uniqueName="3" name="cpums" queryTableFieldId="3"/>
    <tableColumn id="4" xr3:uid="{372ED29B-EDA0-4C98-94FF-91B654164770}" uniqueName="4" name="cms" queryTableFieldId="4"/>
    <tableColumn id="5" xr3:uid="{67A0CF4C-A637-4400-84C7-FBE072511D01}" uniqueName="5" name="gms" queryTableFieldId="5"/>
    <tableColumn id="6" xr3:uid="{51C0C49C-457D-4646-AF11-F3AB2DDCEAC4}" uniqueName="6" name="expectedp" queryTableFieldId="6"/>
    <tableColumn id="7" xr3:uid="{2B5AB734-1009-4137-AE6D-4359A5F0FB7E}" uniqueName="7" name="loadedp" queryTableFieldId="7"/>
    <tableColumn id="8" xr3:uid="{53394FE3-19B6-42FE-ACF7-EF743C162C4A}" uniqueName="8" name="shaderp_comp" queryTableFieldId="8"/>
    <tableColumn id="9" xr3:uid="{0F22E051-C732-4521-81F6-33C3B4008C69}" uniqueName="9" name="shaderp_grph" queryTableFieldId="9"/>
    <tableColumn id="10" xr3:uid="{69B7A172-B0D1-4057-8936-E310674310F0}" uniqueName="10" name="expectedc" queryTableFieldId="10"/>
    <tableColumn id="11" xr3:uid="{2F78F96D-897A-4FAC-8E10-C6F713DA5274}" uniqueName="11" name="shaderc" queryTableFieldId="11"/>
    <tableColumn id="12" xr3:uid="{7AB03214-9822-4206-B1B1-522CA8BD337C}" uniqueName="12" name="sidelen" queryTableFieldId="12"/>
    <tableColumn id="13" xr3:uid="{9C72BF09-E6D7-4D9D-BE90-8025DB343416}" uniqueName="13" name="cell_count" queryTableFieldId="13"/>
    <tableColumn id="14" xr3:uid="{1AE3BDD9-1D09-4911-B7E1-B81946AA3163}" uniqueName="14" name="mean" queryTableFieldId="14"/>
    <tableColumn id="15" xr3:uid="{D50E7EE3-35F6-4E76-BE29-E4868ED56429}" uniqueName="15" name="stddev"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M5"/>
  <sheetViews>
    <sheetView workbookViewId="0">
      <selection activeCell="G14" sqref="G14"/>
    </sheetView>
  </sheetViews>
  <sheetFormatPr defaultRowHeight="15" x14ac:dyDescent="0.25"/>
  <cols>
    <col min="1" max="1" width="68.85546875" bestFit="1" customWidth="1"/>
    <col min="2" max="2" width="12.28515625" bestFit="1" customWidth="1"/>
    <col min="3" max="3" width="12.7109375" bestFit="1" customWidth="1"/>
    <col min="4" max="4" width="12.85546875" bestFit="1" customWidth="1"/>
    <col min="5" max="5" width="10.5703125" bestFit="1" customWidth="1"/>
    <col min="6" max="6" width="16.5703125" bestFit="1" customWidth="1"/>
    <col min="7" max="7" width="15.5703125" bestFit="1" customWidth="1"/>
    <col min="8" max="8" width="12.7109375" bestFit="1" customWidth="1"/>
    <col min="9" max="9" width="10.42578125" bestFit="1" customWidth="1"/>
    <col min="10" max="11" width="12.85546875" bestFit="1" customWidth="1"/>
    <col min="12" max="12" width="11.85546875" bestFit="1" customWidth="1"/>
    <col min="13" max="13" width="10" bestFit="1" customWidth="1"/>
    <col min="14" max="14" width="12"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t="s">
        <v>13</v>
      </c>
      <c r="B2">
        <v>3</v>
      </c>
      <c r="C2">
        <v>1</v>
      </c>
      <c r="D2">
        <v>117649</v>
      </c>
      <c r="E2">
        <v>117649</v>
      </c>
      <c r="F2">
        <v>117649</v>
      </c>
      <c r="G2">
        <v>117649</v>
      </c>
      <c r="H2">
        <v>58361</v>
      </c>
      <c r="I2">
        <v>58362</v>
      </c>
      <c r="J2">
        <v>0</v>
      </c>
      <c r="K2">
        <v>0</v>
      </c>
      <c r="L2">
        <v>0</v>
      </c>
      <c r="M2">
        <v>1</v>
      </c>
    </row>
    <row r="3" spans="1:13" x14ac:dyDescent="0.25">
      <c r="A3" t="s">
        <v>14</v>
      </c>
      <c r="B3">
        <v>9</v>
      </c>
      <c r="C3">
        <v>1</v>
      </c>
      <c r="D3">
        <v>117649</v>
      </c>
      <c r="E3">
        <v>117649</v>
      </c>
      <c r="F3">
        <v>117649</v>
      </c>
      <c r="G3">
        <v>117649</v>
      </c>
      <c r="H3">
        <v>59081</v>
      </c>
      <c r="I3">
        <v>59082</v>
      </c>
      <c r="J3">
        <v>0</v>
      </c>
      <c r="K3">
        <v>0</v>
      </c>
      <c r="L3">
        <v>0</v>
      </c>
      <c r="M3">
        <v>1</v>
      </c>
    </row>
    <row r="4" spans="1:13" x14ac:dyDescent="0.25">
      <c r="A4" t="s">
        <v>15</v>
      </c>
      <c r="B4">
        <v>10</v>
      </c>
      <c r="C4">
        <v>1</v>
      </c>
      <c r="D4">
        <v>117649</v>
      </c>
      <c r="E4">
        <v>117649</v>
      </c>
      <c r="F4">
        <v>117649</v>
      </c>
      <c r="G4">
        <v>117649</v>
      </c>
      <c r="H4">
        <v>58896</v>
      </c>
      <c r="I4">
        <v>58896</v>
      </c>
      <c r="J4">
        <v>0</v>
      </c>
      <c r="K4">
        <v>1</v>
      </c>
      <c r="L4">
        <v>0</v>
      </c>
      <c r="M4">
        <v>0</v>
      </c>
    </row>
    <row r="5" spans="1:13" x14ac:dyDescent="0.25">
      <c r="A5" t="s">
        <v>16</v>
      </c>
      <c r="B5">
        <v>20</v>
      </c>
      <c r="C5">
        <v>1</v>
      </c>
      <c r="D5">
        <v>117649</v>
      </c>
      <c r="E5">
        <v>117649</v>
      </c>
      <c r="F5">
        <v>117648</v>
      </c>
      <c r="G5">
        <v>117649</v>
      </c>
      <c r="H5">
        <v>59084</v>
      </c>
      <c r="I5">
        <v>59084</v>
      </c>
      <c r="J5">
        <v>0</v>
      </c>
      <c r="K5">
        <v>1</v>
      </c>
      <c r="L5">
        <v>0</v>
      </c>
      <c r="M5">
        <v>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O26"/>
  <sheetViews>
    <sheetView workbookViewId="0">
      <selection activeCell="E34" sqref="E34"/>
    </sheetView>
  </sheetViews>
  <sheetFormatPr defaultRowHeight="15" x14ac:dyDescent="0.25"/>
  <cols>
    <col min="1" max="1" width="34.71093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12.5703125" bestFit="1" customWidth="1"/>
    <col min="14" max="14" width="10" bestFit="1" customWidth="1"/>
    <col min="15" max="15" width="12" bestFit="1" customWidth="1"/>
  </cols>
  <sheetData>
    <row r="1" spans="1:15" x14ac:dyDescent="0.25">
      <c r="A1" t="s">
        <v>17</v>
      </c>
      <c r="B1" t="s">
        <v>18</v>
      </c>
      <c r="C1" t="s">
        <v>19</v>
      </c>
      <c r="D1" t="s">
        <v>20</v>
      </c>
      <c r="E1" t="s">
        <v>21</v>
      </c>
      <c r="F1" t="s">
        <v>3</v>
      </c>
      <c r="G1" t="s">
        <v>4</v>
      </c>
      <c r="H1" t="s">
        <v>5</v>
      </c>
      <c r="I1" t="s">
        <v>6</v>
      </c>
      <c r="J1" t="s">
        <v>7</v>
      </c>
      <c r="K1" t="s">
        <v>8</v>
      </c>
      <c r="L1" t="s">
        <v>22</v>
      </c>
      <c r="M1" t="s">
        <v>50</v>
      </c>
      <c r="N1" t="s">
        <v>23</v>
      </c>
      <c r="O1" t="s">
        <v>24</v>
      </c>
    </row>
    <row r="2" spans="1:15" x14ac:dyDescent="0.25">
      <c r="A2" s="1" t="s">
        <v>25</v>
      </c>
      <c r="B2">
        <v>1498.6</v>
      </c>
      <c r="C2">
        <v>7.7238700000000003E-4</v>
      </c>
      <c r="D2">
        <v>4.0793600000000002E-4</v>
      </c>
      <c r="E2">
        <v>7.8975999999999997E-5</v>
      </c>
      <c r="F2">
        <v>0</v>
      </c>
      <c r="G2">
        <v>117649</v>
      </c>
      <c r="H2">
        <v>0</v>
      </c>
      <c r="I2">
        <v>0</v>
      </c>
      <c r="J2">
        <v>58824</v>
      </c>
      <c r="K2">
        <v>0</v>
      </c>
      <c r="L2">
        <v>27</v>
      </c>
      <c r="M2">
        <v>8</v>
      </c>
      <c r="N2">
        <v>1456.953</v>
      </c>
      <c r="O2">
        <v>58.069816801272331</v>
      </c>
    </row>
    <row r="3" spans="1:15" x14ac:dyDescent="0.25">
      <c r="A3" s="1" t="s">
        <v>26</v>
      </c>
      <c r="B3">
        <v>646.66800000000001</v>
      </c>
      <c r="C3">
        <v>1.61973E-3</v>
      </c>
      <c r="D3">
        <v>1.2139500000000001E-3</v>
      </c>
      <c r="E3">
        <v>8.9344000000000004E-5</v>
      </c>
      <c r="F3">
        <v>0</v>
      </c>
      <c r="G3">
        <v>117649</v>
      </c>
      <c r="H3">
        <v>0</v>
      </c>
      <c r="I3">
        <v>0</v>
      </c>
      <c r="J3">
        <v>61004</v>
      </c>
      <c r="K3">
        <v>0</v>
      </c>
      <c r="L3">
        <v>19</v>
      </c>
      <c r="M3">
        <v>27</v>
      </c>
      <c r="N3">
        <v>636.7989</v>
      </c>
      <c r="O3">
        <v>8.5953250917771342</v>
      </c>
    </row>
    <row r="4" spans="1:15" x14ac:dyDescent="0.25">
      <c r="A4" s="1" t="s">
        <v>27</v>
      </c>
      <c r="B4">
        <v>334.971</v>
      </c>
      <c r="C4">
        <v>3.4038599999999999E-3</v>
      </c>
      <c r="D4">
        <v>3.5688999999999999E-3</v>
      </c>
      <c r="E4">
        <v>1.1072E-4</v>
      </c>
      <c r="F4">
        <v>0</v>
      </c>
      <c r="G4">
        <v>117649</v>
      </c>
      <c r="H4">
        <v>0</v>
      </c>
      <c r="I4">
        <v>0</v>
      </c>
      <c r="J4">
        <v>58832</v>
      </c>
      <c r="K4">
        <v>0</v>
      </c>
      <c r="L4">
        <v>15</v>
      </c>
      <c r="M4">
        <v>64</v>
      </c>
      <c r="N4">
        <v>319.63</v>
      </c>
      <c r="O4">
        <v>14.207766131396033</v>
      </c>
    </row>
    <row r="5" spans="1:15" x14ac:dyDescent="0.25">
      <c r="A5" s="1" t="s">
        <v>28</v>
      </c>
      <c r="B5">
        <v>192.58799999999999</v>
      </c>
      <c r="C5">
        <v>5.4586599999999997E-3</v>
      </c>
      <c r="D5">
        <v>5.1553900000000001E-3</v>
      </c>
      <c r="E5">
        <v>9.2095999999999994E-5</v>
      </c>
      <c r="F5">
        <v>0</v>
      </c>
      <c r="G5">
        <v>117649</v>
      </c>
      <c r="H5">
        <v>0</v>
      </c>
      <c r="I5">
        <v>0</v>
      </c>
      <c r="J5">
        <v>58361</v>
      </c>
      <c r="K5">
        <v>0</v>
      </c>
      <c r="L5">
        <v>12</v>
      </c>
      <c r="M5">
        <v>125</v>
      </c>
      <c r="N5">
        <v>190.35499999999999</v>
      </c>
      <c r="O5">
        <v>3.120264483091848</v>
      </c>
    </row>
    <row r="6" spans="1:15" x14ac:dyDescent="0.25">
      <c r="A6" s="1" t="s">
        <v>29</v>
      </c>
      <c r="B6">
        <v>116.26600000000001</v>
      </c>
      <c r="C6">
        <v>9.1050799999999998E-3</v>
      </c>
      <c r="D6">
        <v>8.3436499999999993E-3</v>
      </c>
      <c r="E6">
        <v>8.1568000000000002E-5</v>
      </c>
      <c r="F6">
        <v>0</v>
      </c>
      <c r="G6">
        <v>117649</v>
      </c>
      <c r="H6">
        <v>0</v>
      </c>
      <c r="I6">
        <v>0</v>
      </c>
      <c r="J6">
        <v>58860</v>
      </c>
      <c r="K6">
        <v>0</v>
      </c>
      <c r="L6">
        <v>11</v>
      </c>
      <c r="M6">
        <v>216</v>
      </c>
      <c r="N6">
        <v>113.7754</v>
      </c>
      <c r="O6">
        <v>2.1763633377213907</v>
      </c>
    </row>
    <row r="7" spans="1:15" x14ac:dyDescent="0.25">
      <c r="A7" s="1" t="s">
        <v>30</v>
      </c>
      <c r="B7">
        <v>73.135900000000007</v>
      </c>
      <c r="C7">
        <v>1.5194900000000001E-2</v>
      </c>
      <c r="D7">
        <v>1.62624E-2</v>
      </c>
      <c r="E7">
        <v>1.10976E-4</v>
      </c>
      <c r="F7">
        <v>0</v>
      </c>
      <c r="G7">
        <v>117649</v>
      </c>
      <c r="H7">
        <v>0</v>
      </c>
      <c r="I7">
        <v>0</v>
      </c>
      <c r="J7">
        <v>58996</v>
      </c>
      <c r="K7">
        <v>0</v>
      </c>
      <c r="L7">
        <v>10</v>
      </c>
      <c r="M7">
        <v>343</v>
      </c>
      <c r="N7">
        <v>70.243539999999996</v>
      </c>
      <c r="O7">
        <v>2.5703136778741</v>
      </c>
    </row>
    <row r="8" spans="1:15" x14ac:dyDescent="0.25">
      <c r="A8" s="1" t="s">
        <v>31</v>
      </c>
      <c r="B8">
        <v>49.094499999999996</v>
      </c>
      <c r="C8">
        <v>2.1521499999999999E-2</v>
      </c>
      <c r="D8">
        <v>2.1607899999999999E-2</v>
      </c>
      <c r="E8">
        <v>1.12608E-4</v>
      </c>
      <c r="F8">
        <v>0</v>
      </c>
      <c r="G8">
        <v>117649</v>
      </c>
      <c r="H8">
        <v>0</v>
      </c>
      <c r="I8">
        <v>0</v>
      </c>
      <c r="J8">
        <v>58880</v>
      </c>
      <c r="K8">
        <v>0</v>
      </c>
      <c r="L8">
        <v>9</v>
      </c>
      <c r="M8">
        <v>512</v>
      </c>
      <c r="N8">
        <v>48.192399999999999</v>
      </c>
      <c r="O8">
        <v>0.99953833232036571</v>
      </c>
    </row>
    <row r="9" spans="1:15" x14ac:dyDescent="0.25">
      <c r="A9" s="1" t="s">
        <v>32</v>
      </c>
      <c r="B9">
        <v>35.512</v>
      </c>
      <c r="C9">
        <v>3.0778900000000001E-2</v>
      </c>
      <c r="D9">
        <v>2.8241499999999999E-2</v>
      </c>
      <c r="E9">
        <v>9.3312000000000004E-5</v>
      </c>
      <c r="F9">
        <v>0</v>
      </c>
      <c r="G9">
        <v>117649</v>
      </c>
      <c r="H9">
        <v>0</v>
      </c>
      <c r="I9">
        <v>0</v>
      </c>
      <c r="J9">
        <v>58852</v>
      </c>
      <c r="K9">
        <v>0</v>
      </c>
      <c r="L9">
        <v>8</v>
      </c>
      <c r="M9">
        <v>729</v>
      </c>
      <c r="N9">
        <v>34.538069999999998</v>
      </c>
      <c r="O9">
        <v>0.795854784422942</v>
      </c>
    </row>
    <row r="10" spans="1:15" x14ac:dyDescent="0.25">
      <c r="A10" s="1" t="s">
        <v>33</v>
      </c>
      <c r="B10">
        <v>25.8126</v>
      </c>
      <c r="C10">
        <v>4.1963399999999998E-2</v>
      </c>
      <c r="D10">
        <v>3.91711E-2</v>
      </c>
      <c r="E10">
        <v>8.4543999999999996E-5</v>
      </c>
      <c r="F10">
        <v>0</v>
      </c>
      <c r="G10">
        <v>117649</v>
      </c>
      <c r="H10">
        <v>0</v>
      </c>
      <c r="I10">
        <v>0</v>
      </c>
      <c r="J10">
        <v>59000</v>
      </c>
      <c r="K10">
        <v>0</v>
      </c>
      <c r="L10">
        <v>7</v>
      </c>
      <c r="M10">
        <v>1000</v>
      </c>
      <c r="N10">
        <v>25.07882</v>
      </c>
      <c r="O10">
        <v>0.51483827190897713</v>
      </c>
    </row>
    <row r="11" spans="1:15" x14ac:dyDescent="0.25">
      <c r="A11" s="1" t="s">
        <v>34</v>
      </c>
      <c r="B11">
        <v>19.989899999999999</v>
      </c>
      <c r="C11">
        <v>5.34812E-2</v>
      </c>
      <c r="D11">
        <v>5.2258100000000002E-2</v>
      </c>
      <c r="E11">
        <v>9.4623999999999994E-5</v>
      </c>
      <c r="F11">
        <v>0</v>
      </c>
      <c r="G11">
        <v>117649</v>
      </c>
      <c r="H11">
        <v>0</v>
      </c>
      <c r="I11">
        <v>0</v>
      </c>
      <c r="J11">
        <v>59081</v>
      </c>
      <c r="K11">
        <v>0</v>
      </c>
      <c r="L11">
        <v>7</v>
      </c>
      <c r="M11">
        <v>1331</v>
      </c>
      <c r="N11">
        <v>19.163809999999998</v>
      </c>
      <c r="O11">
        <v>0.39911311805050942</v>
      </c>
    </row>
    <row r="12" spans="1:15" x14ac:dyDescent="0.25">
      <c r="A12" s="1" t="s">
        <v>35</v>
      </c>
      <c r="B12">
        <v>15.3184</v>
      </c>
      <c r="C12">
        <v>7.2490499999999999E-2</v>
      </c>
      <c r="D12">
        <v>7.0847400000000005E-2</v>
      </c>
      <c r="E12">
        <v>1.05344E-4</v>
      </c>
      <c r="F12">
        <v>0</v>
      </c>
      <c r="G12">
        <v>117649</v>
      </c>
      <c r="H12">
        <v>0</v>
      </c>
      <c r="I12">
        <v>0</v>
      </c>
      <c r="J12">
        <v>58896</v>
      </c>
      <c r="K12">
        <v>0</v>
      </c>
      <c r="L12">
        <v>7</v>
      </c>
      <c r="M12">
        <v>1728</v>
      </c>
      <c r="N12">
        <v>14.548500000000001</v>
      </c>
      <c r="O12">
        <v>0.53708583216382755</v>
      </c>
    </row>
    <row r="13" spans="1:15" x14ac:dyDescent="0.25">
      <c r="A13" s="1" t="s">
        <v>36</v>
      </c>
      <c r="B13">
        <v>12.020300000000001</v>
      </c>
      <c r="C13">
        <v>0.101922</v>
      </c>
      <c r="D13">
        <v>9.5804399999999998E-2</v>
      </c>
      <c r="E13">
        <v>1.13632E-4</v>
      </c>
      <c r="F13">
        <v>0</v>
      </c>
      <c r="G13">
        <v>117649</v>
      </c>
      <c r="H13">
        <v>0</v>
      </c>
      <c r="I13">
        <v>0</v>
      </c>
      <c r="J13">
        <v>59292</v>
      </c>
      <c r="K13">
        <v>0</v>
      </c>
      <c r="L13">
        <v>6</v>
      </c>
      <c r="M13">
        <v>2197</v>
      </c>
      <c r="N13">
        <v>11.100318999999999</v>
      </c>
      <c r="O13">
        <v>0.66574133569611293</v>
      </c>
    </row>
    <row r="14" spans="1:15" x14ac:dyDescent="0.25">
      <c r="A14" s="1" t="s">
        <v>37</v>
      </c>
      <c r="B14">
        <v>10.269</v>
      </c>
      <c r="C14">
        <v>0.115957</v>
      </c>
      <c r="D14">
        <v>0.11412899999999999</v>
      </c>
      <c r="E14">
        <v>1.0416000000000001E-4</v>
      </c>
      <c r="F14">
        <v>0</v>
      </c>
      <c r="G14">
        <v>117649</v>
      </c>
      <c r="H14">
        <v>0</v>
      </c>
      <c r="I14">
        <v>0</v>
      </c>
      <c r="J14">
        <v>58996</v>
      </c>
      <c r="K14">
        <v>0</v>
      </c>
      <c r="L14">
        <v>6</v>
      </c>
      <c r="M14">
        <v>2744</v>
      </c>
      <c r="N14">
        <v>9.1487049999999996</v>
      </c>
      <c r="O14">
        <v>0.4752400531018216</v>
      </c>
    </row>
    <row r="15" spans="1:15" x14ac:dyDescent="0.25">
      <c r="A15" s="1" t="s">
        <v>38</v>
      </c>
      <c r="B15">
        <v>8.5961499999999997</v>
      </c>
      <c r="C15">
        <v>0.14374100000000001</v>
      </c>
      <c r="D15">
        <v>0.13778699999999999</v>
      </c>
      <c r="E15">
        <v>8.7775999999999994E-5</v>
      </c>
      <c r="F15">
        <v>0</v>
      </c>
      <c r="G15">
        <v>117649</v>
      </c>
      <c r="H15">
        <v>0</v>
      </c>
      <c r="I15">
        <v>0</v>
      </c>
      <c r="J15">
        <v>59080</v>
      </c>
      <c r="K15">
        <v>0</v>
      </c>
      <c r="L15">
        <v>6</v>
      </c>
      <c r="M15">
        <v>3375</v>
      </c>
      <c r="N15">
        <v>7.5313119999999998</v>
      </c>
      <c r="O15">
        <v>0.48223263859768839</v>
      </c>
    </row>
    <row r="16" spans="1:15" x14ac:dyDescent="0.25">
      <c r="A16" s="1" t="s">
        <v>39</v>
      </c>
      <c r="B16">
        <v>7.5815400000000004</v>
      </c>
      <c r="C16">
        <v>0.180982</v>
      </c>
      <c r="D16">
        <v>0.166265</v>
      </c>
      <c r="E16">
        <v>1.13856E-4</v>
      </c>
      <c r="F16">
        <v>0</v>
      </c>
      <c r="G16">
        <v>117649</v>
      </c>
      <c r="H16">
        <v>0</v>
      </c>
      <c r="I16">
        <v>0</v>
      </c>
      <c r="J16">
        <v>59392</v>
      </c>
      <c r="K16">
        <v>0</v>
      </c>
      <c r="L16">
        <v>6</v>
      </c>
      <c r="M16">
        <v>4096</v>
      </c>
      <c r="N16">
        <v>6.0192019999999999</v>
      </c>
      <c r="O16">
        <v>0.60518111437449507</v>
      </c>
    </row>
    <row r="17" spans="1:15" x14ac:dyDescent="0.25">
      <c r="A17" s="1" t="s">
        <v>40</v>
      </c>
      <c r="B17">
        <v>6.4158099999999996</v>
      </c>
      <c r="C17">
        <v>0.22162299999999999</v>
      </c>
      <c r="D17">
        <v>0.19367999999999999</v>
      </c>
      <c r="E17">
        <v>8.9664000000000001E-5</v>
      </c>
      <c r="F17">
        <v>0</v>
      </c>
      <c r="G17">
        <v>117649</v>
      </c>
      <c r="H17">
        <v>0</v>
      </c>
      <c r="I17">
        <v>0</v>
      </c>
      <c r="J17">
        <v>58944</v>
      </c>
      <c r="K17">
        <v>0</v>
      </c>
      <c r="L17">
        <v>5</v>
      </c>
      <c r="M17">
        <v>4913</v>
      </c>
      <c r="N17">
        <v>5.0463950000000004</v>
      </c>
      <c r="O17">
        <v>0.5323654136701802</v>
      </c>
    </row>
    <row r="18" spans="1:15" x14ac:dyDescent="0.25">
      <c r="A18" s="1" t="s">
        <v>41</v>
      </c>
      <c r="B18">
        <v>5.7243000000000004</v>
      </c>
      <c r="C18">
        <v>0.29670000000000002</v>
      </c>
      <c r="D18">
        <v>0.23614099999999999</v>
      </c>
      <c r="E18">
        <v>9.3696000000000006E-5</v>
      </c>
      <c r="F18">
        <v>0</v>
      </c>
      <c r="G18">
        <v>117649</v>
      </c>
      <c r="H18">
        <v>0</v>
      </c>
      <c r="I18">
        <v>0</v>
      </c>
      <c r="J18">
        <v>59328</v>
      </c>
      <c r="K18">
        <v>0</v>
      </c>
      <c r="L18">
        <v>5</v>
      </c>
      <c r="M18">
        <v>5832</v>
      </c>
      <c r="N18">
        <v>4.0853270000000004</v>
      </c>
      <c r="O18">
        <v>0.66080830400771728</v>
      </c>
    </row>
    <row r="19" spans="1:15" x14ac:dyDescent="0.25">
      <c r="A19" s="1" t="s">
        <v>42</v>
      </c>
      <c r="B19">
        <v>5.1013299999999999</v>
      </c>
      <c r="C19">
        <v>0.36518699999999998</v>
      </c>
      <c r="D19">
        <v>0.29460799999999998</v>
      </c>
      <c r="E19">
        <v>9.2479999999999995E-5</v>
      </c>
      <c r="F19">
        <v>0</v>
      </c>
      <c r="G19">
        <v>117649</v>
      </c>
      <c r="H19">
        <v>0</v>
      </c>
      <c r="I19">
        <v>0</v>
      </c>
      <c r="J19">
        <v>59300</v>
      </c>
      <c r="K19">
        <v>0</v>
      </c>
      <c r="L19">
        <v>5</v>
      </c>
      <c r="M19">
        <v>6859</v>
      </c>
      <c r="N19">
        <v>3.3917600000000001</v>
      </c>
      <c r="O19">
        <v>0.66138874572960327</v>
      </c>
    </row>
    <row r="20" spans="1:15" x14ac:dyDescent="0.25">
      <c r="A20" s="1" t="s">
        <v>43</v>
      </c>
      <c r="B20">
        <v>4.9309200000000004</v>
      </c>
      <c r="C20">
        <v>0.40918599999999999</v>
      </c>
      <c r="D20">
        <v>0.33643099999999998</v>
      </c>
      <c r="E20">
        <v>1.15488E-4</v>
      </c>
      <c r="F20">
        <v>0</v>
      </c>
      <c r="G20">
        <v>117649</v>
      </c>
      <c r="H20">
        <v>0</v>
      </c>
      <c r="I20">
        <v>0</v>
      </c>
      <c r="J20">
        <v>60000</v>
      </c>
      <c r="K20">
        <v>0</v>
      </c>
      <c r="L20">
        <v>5</v>
      </c>
      <c r="M20">
        <v>8000</v>
      </c>
      <c r="N20">
        <v>2.9626670000000002</v>
      </c>
      <c r="O20">
        <v>0.72943939110113876</v>
      </c>
    </row>
    <row r="21" spans="1:15" x14ac:dyDescent="0.25">
      <c r="A21" s="1" t="s">
        <v>44</v>
      </c>
      <c r="B21">
        <v>4.18553</v>
      </c>
      <c r="C21">
        <v>0.51599499999999998</v>
      </c>
      <c r="D21">
        <v>0.39821200000000001</v>
      </c>
      <c r="E21">
        <v>1.12224E-4</v>
      </c>
      <c r="F21">
        <v>0</v>
      </c>
      <c r="G21">
        <v>117649</v>
      </c>
      <c r="H21">
        <v>0</v>
      </c>
      <c r="I21">
        <v>0</v>
      </c>
      <c r="J21">
        <v>60190</v>
      </c>
      <c r="K21">
        <v>0</v>
      </c>
      <c r="L21">
        <v>5</v>
      </c>
      <c r="M21">
        <v>9261</v>
      </c>
      <c r="N21">
        <v>2.5927069999999999</v>
      </c>
      <c r="O21">
        <v>0.63705096652988968</v>
      </c>
    </row>
    <row r="22" spans="1:15" x14ac:dyDescent="0.25">
      <c r="A22" s="1" t="s">
        <v>45</v>
      </c>
      <c r="B22">
        <v>3.4526300000000001</v>
      </c>
      <c r="C22">
        <v>0.64237200000000005</v>
      </c>
      <c r="D22">
        <v>0.42266599999999999</v>
      </c>
      <c r="E22">
        <v>1.06048E-4</v>
      </c>
      <c r="F22">
        <v>0</v>
      </c>
      <c r="G22">
        <v>117649</v>
      </c>
      <c r="H22">
        <v>0</v>
      </c>
      <c r="I22">
        <v>0</v>
      </c>
      <c r="J22">
        <v>59084</v>
      </c>
      <c r="K22">
        <v>0</v>
      </c>
      <c r="L22">
        <v>5</v>
      </c>
      <c r="M22">
        <v>10648</v>
      </c>
      <c r="N22">
        <v>2.119704</v>
      </c>
      <c r="O22">
        <v>0.5514352402433329</v>
      </c>
    </row>
    <row r="23" spans="1:15" x14ac:dyDescent="0.25">
      <c r="A23" s="1" t="s">
        <v>46</v>
      </c>
      <c r="B23">
        <v>3.7162999999999999</v>
      </c>
      <c r="C23">
        <v>0.72358500000000003</v>
      </c>
      <c r="D23">
        <v>0.53114399999999995</v>
      </c>
      <c r="E23">
        <v>1.06752E-4</v>
      </c>
      <c r="F23">
        <v>0</v>
      </c>
      <c r="G23">
        <v>117649</v>
      </c>
      <c r="H23">
        <v>0</v>
      </c>
      <c r="I23">
        <v>0</v>
      </c>
      <c r="J23">
        <v>60840</v>
      </c>
      <c r="K23">
        <v>0</v>
      </c>
      <c r="L23">
        <v>5</v>
      </c>
      <c r="M23">
        <v>12167</v>
      </c>
      <c r="N23">
        <v>1.854339</v>
      </c>
      <c r="O23">
        <v>0.69501145148759158</v>
      </c>
    </row>
    <row r="24" spans="1:15" x14ac:dyDescent="0.25">
      <c r="A24" s="1" t="s">
        <v>47</v>
      </c>
      <c r="B24">
        <v>3.3100700000000001</v>
      </c>
      <c r="C24">
        <v>1.1607000000000001</v>
      </c>
      <c r="D24">
        <v>0.60307500000000003</v>
      </c>
      <c r="E24">
        <v>1.18304E-4</v>
      </c>
      <c r="F24">
        <v>0</v>
      </c>
      <c r="G24">
        <v>117649</v>
      </c>
      <c r="H24">
        <v>0</v>
      </c>
      <c r="I24">
        <v>0</v>
      </c>
      <c r="J24">
        <v>62208</v>
      </c>
      <c r="K24">
        <v>0</v>
      </c>
      <c r="L24">
        <v>5</v>
      </c>
      <c r="M24">
        <v>13824</v>
      </c>
      <c r="N24">
        <v>1.5570227000000001</v>
      </c>
      <c r="O24">
        <v>0.64514542566050781</v>
      </c>
    </row>
    <row r="25" spans="1:15" x14ac:dyDescent="0.25">
      <c r="A25" s="1" t="s">
        <v>48</v>
      </c>
      <c r="B25">
        <v>2.9907300000000001</v>
      </c>
      <c r="C25">
        <v>1.15021</v>
      </c>
      <c r="D25">
        <v>0.62242500000000001</v>
      </c>
      <c r="E25">
        <v>9.5935999999999998E-5</v>
      </c>
      <c r="F25">
        <v>0</v>
      </c>
      <c r="G25">
        <v>117649</v>
      </c>
      <c r="H25">
        <v>0</v>
      </c>
      <c r="I25">
        <v>0</v>
      </c>
      <c r="J25">
        <v>62496</v>
      </c>
      <c r="K25">
        <v>0</v>
      </c>
      <c r="L25">
        <v>4</v>
      </c>
      <c r="M25">
        <v>15625</v>
      </c>
      <c r="N25">
        <v>1.4182838</v>
      </c>
      <c r="O25">
        <v>0.61203089720950088</v>
      </c>
    </row>
    <row r="26" spans="1:15" x14ac:dyDescent="0.25">
      <c r="A26" s="1" t="s">
        <v>49</v>
      </c>
      <c r="B26">
        <v>2.68031</v>
      </c>
      <c r="C26">
        <v>1.2122999999999999</v>
      </c>
      <c r="D26">
        <v>0.71146699999999996</v>
      </c>
      <c r="E26">
        <v>1.10464E-4</v>
      </c>
      <c r="F26">
        <v>0</v>
      </c>
      <c r="G26">
        <v>117649</v>
      </c>
      <c r="H26">
        <v>0</v>
      </c>
      <c r="I26">
        <v>0</v>
      </c>
      <c r="J26">
        <v>61516</v>
      </c>
      <c r="K26">
        <v>0</v>
      </c>
      <c r="L26">
        <v>4</v>
      </c>
      <c r="M26">
        <v>17576</v>
      </c>
      <c r="N26">
        <v>1.2204558000000001</v>
      </c>
      <c r="O26">
        <v>0.56477187279128716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zoomScale="115" zoomScaleNormal="115" workbookViewId="0">
      <selection activeCell="S15" sqref="S15"/>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abSelected="1" zoomScale="115" zoomScaleNormal="115" workbookViewId="0">
      <selection activeCell="F28" sqref="F28"/>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zoomScale="115" zoomScaleNormal="115" workbookViewId="0">
      <selection activeCell="H23" sqref="H2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T7" sqref="T7"/>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CFBV Data</vt:lpstr>
      <vt:lpstr>CFBT Data</vt:lpstr>
      <vt:lpstr>CFB Total Plot</vt:lpstr>
      <vt:lpstr>CFB Compute Plot</vt:lpstr>
      <vt:lpstr>CFB Graphics Plots</vt:lpstr>
      <vt:lpstr>CFB ALL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2025-08-09T20:30:18Z</dcterms:modified>
</cp:coreProperties>
</file>